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5.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Sandeep\Projects\Utility Projects\TestExcel\TestExcel.UnitTests\"/>
    </mc:Choice>
  </mc:AlternateContent>
  <xr:revisionPtr revIDLastSave="0" documentId="13_ncr:1_{B0D1E023-C9DC-42F8-800E-F9E1D4870B11}" xr6:coauthVersionLast="41" xr6:coauthVersionMax="41" xr10:uidLastSave="{00000000-0000-0000-0000-000000000000}"/>
  <bookViews>
    <workbookView xWindow="1950" yWindow="1950" windowWidth="15375" windowHeight="7875" tabRatio="890" firstSheet="1" activeTab="1" xr2:uid="{00000000-000D-0000-FFFF-FFFF00000000}"/>
  </bookViews>
  <sheets>
    <sheet name="Disclaimer" sheetId="22" state="hidden" r:id="rId1"/>
    <sheet name="RiskRegisterWithScope" sheetId="1" r:id="rId2"/>
    <sheet name="Read Me" sheetId="18" r:id="rId3"/>
    <sheet name="Risk Matrices" sheetId="21" r:id="rId4"/>
    <sheet name="Source of Risk" sheetId="16" r:id="rId5"/>
    <sheet name="GRS Before &amp; After" sheetId="17" r:id="rId6"/>
    <sheet name="Data" sheetId="23" state="hidden" r:id="rId7"/>
    <sheet name="IP (X)" sheetId="14" state="hidden" r:id="rId8"/>
    <sheet name="IP (1) Process design or execut" sheetId="24" r:id="rId9"/>
    <sheet name="IP (2) Inaction" sheetId="25" r:id="rId10"/>
    <sheet name="IP (3) Disasters" sheetId="26" r:id="rId11"/>
  </sheets>
  <functionGroups builtInGroupCount="19"/>
  <definedNames>
    <definedName name="_xlnm._FilterDatabase" localSheetId="5" hidden="1">'GRS Before &amp; After'!$A$1:$D$1</definedName>
    <definedName name="_xlnm._FilterDatabase" localSheetId="1" hidden="1">RiskRegisterWithScope!$A$4:$M$4</definedName>
    <definedName name="_xlnm.Print_Area" localSheetId="5">'GRS Before &amp; After'!$A$1:$D$31</definedName>
    <definedName name="_xlnm.Print_Area" localSheetId="2">'Read Me'!$A$2:$S$27</definedName>
    <definedName name="_xlnm.Print_Area" localSheetId="1">RiskRegisterWithScope!$A$1:$M$4</definedName>
    <definedName name="_xlnm.Print_Area" localSheetId="4">'Source of Risk'!$B$1:$I$25</definedName>
  </definedNames>
  <calcPr calcId="191029" iterateDelta="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 i="1" l="1"/>
  <c r="S6" i="26" l="1"/>
  <c r="R6" i="26"/>
  <c r="L6" i="26"/>
  <c r="K6" i="26"/>
  <c r="E6" i="26"/>
  <c r="D6" i="26"/>
  <c r="S5" i="26"/>
  <c r="R5" i="26"/>
  <c r="L5" i="26"/>
  <c r="K5" i="26"/>
  <c r="E5" i="26"/>
  <c r="D5" i="26"/>
  <c r="T3" i="26"/>
  <c r="N3" i="26"/>
  <c r="M3" i="26"/>
  <c r="F3" i="26"/>
  <c r="N2" i="26"/>
  <c r="S6" i="25"/>
  <c r="R6" i="25"/>
  <c r="L6" i="25"/>
  <c r="K6" i="25"/>
  <c r="E6" i="25"/>
  <c r="D6" i="25"/>
  <c r="S5" i="25"/>
  <c r="R5" i="25"/>
  <c r="L5" i="25"/>
  <c r="K5" i="25"/>
  <c r="E5" i="25"/>
  <c r="D5" i="25"/>
  <c r="T3" i="25"/>
  <c r="N3" i="25"/>
  <c r="M3" i="25"/>
  <c r="F3" i="25"/>
  <c r="N2" i="25"/>
  <c r="S6" i="24"/>
  <c r="R6" i="24"/>
  <c r="L6" i="24"/>
  <c r="K6" i="24"/>
  <c r="E6" i="24"/>
  <c r="D6" i="24"/>
  <c r="S5" i="24"/>
  <c r="R5" i="24"/>
  <c r="L5" i="24"/>
  <c r="K5" i="24"/>
  <c r="E5" i="24"/>
  <c r="D5" i="24"/>
  <c r="T3" i="24"/>
  <c r="N3" i="24"/>
  <c r="M3" i="24"/>
  <c r="F3" i="24"/>
  <c r="N2" i="24"/>
  <c r="S6" i="14"/>
  <c r="R6" i="14"/>
  <c r="L6" i="14"/>
  <c r="K6" i="14"/>
  <c r="E6" i="14"/>
  <c r="D6" i="14"/>
  <c r="S5" i="14"/>
  <c r="R5" i="14"/>
  <c r="L5" i="14"/>
  <c r="K5" i="14"/>
  <c r="E5" i="14"/>
  <c r="D5" i="14"/>
  <c r="T3" i="14"/>
  <c r="N3" i="14"/>
  <c r="M3" i="14"/>
  <c r="F3" i="14"/>
  <c r="N2" i="14"/>
  <c r="H3" i="17"/>
  <c r="I3" i="17" s="1"/>
  <c r="G3" i="17"/>
  <c r="I2" i="17"/>
  <c r="H2" i="17"/>
  <c r="G2" i="17"/>
  <c r="G14" i="21"/>
  <c r="F14" i="21"/>
  <c r="E14" i="21"/>
  <c r="D14" i="21"/>
  <c r="C14" i="21"/>
  <c r="G13" i="21"/>
  <c r="F13" i="21"/>
  <c r="E13" i="21"/>
  <c r="D13" i="21"/>
  <c r="C13" i="21"/>
  <c r="G12" i="21"/>
  <c r="F12" i="21"/>
  <c r="E12" i="21"/>
  <c r="D12" i="21"/>
  <c r="C12" i="21"/>
  <c r="G11" i="21"/>
  <c r="F11" i="21"/>
  <c r="E11" i="21"/>
  <c r="D11" i="21"/>
  <c r="C11" i="21"/>
  <c r="G10" i="21"/>
  <c r="F10" i="21"/>
  <c r="E10" i="21"/>
  <c r="D10" i="21"/>
  <c r="C10" i="21"/>
  <c r="G6" i="21"/>
  <c r="F6" i="21"/>
  <c r="E6" i="21"/>
  <c r="D6" i="21"/>
  <c r="C6" i="21"/>
  <c r="G5" i="21"/>
  <c r="F5" i="21"/>
  <c r="E5" i="21"/>
  <c r="D5" i="21"/>
  <c r="C5" i="21"/>
  <c r="G4" i="21"/>
  <c r="F4" i="21"/>
  <c r="E4" i="21"/>
  <c r="D4" i="21"/>
  <c r="C4" i="21"/>
  <c r="G3" i="21"/>
  <c r="F3" i="21"/>
  <c r="E3" i="21"/>
  <c r="D3" i="21"/>
  <c r="C3" i="21"/>
  <c r="G2" i="21"/>
  <c r="F2" i="21"/>
  <c r="E2" i="21"/>
  <c r="D2" i="21"/>
  <c r="C2" i="21"/>
  <c r="S557" i="1"/>
  <c r="P557" i="1"/>
  <c r="M557" i="1"/>
  <c r="J557" i="1"/>
  <c r="S556" i="1"/>
  <c r="P556" i="1"/>
  <c r="M556" i="1"/>
  <c r="J556" i="1"/>
  <c r="S555" i="1"/>
  <c r="P555" i="1"/>
  <c r="M555" i="1"/>
  <c r="J555" i="1"/>
  <c r="S554" i="1"/>
  <c r="P554" i="1"/>
  <c r="M554" i="1"/>
  <c r="J554" i="1"/>
  <c r="S553" i="1"/>
  <c r="P553" i="1"/>
  <c r="M553" i="1"/>
  <c r="J553" i="1"/>
  <c r="S552" i="1"/>
  <c r="P552" i="1"/>
  <c r="M552" i="1"/>
  <c r="J552" i="1"/>
  <c r="S551" i="1"/>
  <c r="P551" i="1"/>
  <c r="M551" i="1"/>
  <c r="J551" i="1"/>
  <c r="S550" i="1"/>
  <c r="P550" i="1"/>
  <c r="M550" i="1"/>
  <c r="J550" i="1"/>
  <c r="S549" i="1"/>
  <c r="P549" i="1"/>
  <c r="M549" i="1"/>
  <c r="J549" i="1"/>
  <c r="S548" i="1"/>
  <c r="P548" i="1"/>
  <c r="M548" i="1"/>
  <c r="J548" i="1"/>
  <c r="S547" i="1"/>
  <c r="P547" i="1"/>
  <c r="M547" i="1"/>
  <c r="J547" i="1"/>
  <c r="S546" i="1"/>
  <c r="P546" i="1"/>
  <c r="M546" i="1"/>
  <c r="J546" i="1"/>
  <c r="S545" i="1"/>
  <c r="P545" i="1"/>
  <c r="M545" i="1"/>
  <c r="J545" i="1"/>
  <c r="S544" i="1"/>
  <c r="P544" i="1"/>
  <c r="M544" i="1"/>
  <c r="J544" i="1"/>
  <c r="S543" i="1"/>
  <c r="P543" i="1"/>
  <c r="M543" i="1"/>
  <c r="J543" i="1"/>
  <c r="S542" i="1"/>
  <c r="P542" i="1"/>
  <c r="M542" i="1"/>
  <c r="J542" i="1"/>
  <c r="S541" i="1"/>
  <c r="P541" i="1"/>
  <c r="M541" i="1"/>
  <c r="J541" i="1"/>
  <c r="S540" i="1"/>
  <c r="P540" i="1"/>
  <c r="M540" i="1"/>
  <c r="J540" i="1"/>
  <c r="S539" i="1"/>
  <c r="P539" i="1"/>
  <c r="M539" i="1"/>
  <c r="J539" i="1"/>
  <c r="S538" i="1"/>
  <c r="P538" i="1"/>
  <c r="M538" i="1"/>
  <c r="J538" i="1"/>
  <c r="S537" i="1"/>
  <c r="P537" i="1"/>
  <c r="M537" i="1"/>
  <c r="J537" i="1"/>
  <c r="S536" i="1"/>
  <c r="P536" i="1"/>
  <c r="M536" i="1"/>
  <c r="J536" i="1"/>
  <c r="S535" i="1"/>
  <c r="P535" i="1"/>
  <c r="M535" i="1"/>
  <c r="J535" i="1"/>
  <c r="S534" i="1"/>
  <c r="P534" i="1"/>
  <c r="M534" i="1"/>
  <c r="J534" i="1"/>
  <c r="S533" i="1"/>
  <c r="P533" i="1"/>
  <c r="M533" i="1"/>
  <c r="J533" i="1"/>
  <c r="S532" i="1"/>
  <c r="P532" i="1"/>
  <c r="M532" i="1"/>
  <c r="J532" i="1"/>
  <c r="S531" i="1"/>
  <c r="P531" i="1"/>
  <c r="M531" i="1"/>
  <c r="J531" i="1"/>
  <c r="S530" i="1"/>
  <c r="P530" i="1"/>
  <c r="M530" i="1"/>
  <c r="J530" i="1"/>
  <c r="S529" i="1"/>
  <c r="P529" i="1"/>
  <c r="M529" i="1"/>
  <c r="J529" i="1"/>
  <c r="S528" i="1"/>
  <c r="P528" i="1"/>
  <c r="M528" i="1"/>
  <c r="J528" i="1"/>
  <c r="S527" i="1"/>
  <c r="P527" i="1"/>
  <c r="M527" i="1"/>
  <c r="J527" i="1"/>
  <c r="S526" i="1"/>
  <c r="P526" i="1"/>
  <c r="M526" i="1"/>
  <c r="J526" i="1"/>
  <c r="S525" i="1"/>
  <c r="P525" i="1"/>
  <c r="M525" i="1"/>
  <c r="J525" i="1"/>
  <c r="S524" i="1"/>
  <c r="P524" i="1"/>
  <c r="M524" i="1"/>
  <c r="J524" i="1"/>
  <c r="S523" i="1"/>
  <c r="P523" i="1"/>
  <c r="M523" i="1"/>
  <c r="J523" i="1"/>
  <c r="S522" i="1"/>
  <c r="P522" i="1"/>
  <c r="M522" i="1"/>
  <c r="J522" i="1"/>
  <c r="S521" i="1"/>
  <c r="P521" i="1"/>
  <c r="M521" i="1"/>
  <c r="J521" i="1"/>
  <c r="S520" i="1"/>
  <c r="P520" i="1"/>
  <c r="M520" i="1"/>
  <c r="J520" i="1"/>
  <c r="S519" i="1"/>
  <c r="P519" i="1"/>
  <c r="M519" i="1"/>
  <c r="J519" i="1"/>
  <c r="S518" i="1"/>
  <c r="P518" i="1"/>
  <c r="M518" i="1"/>
  <c r="J518" i="1"/>
  <c r="S517" i="1"/>
  <c r="P517" i="1"/>
  <c r="M517" i="1"/>
  <c r="J517" i="1"/>
  <c r="S516" i="1"/>
  <c r="P516" i="1"/>
  <c r="M516" i="1"/>
  <c r="J516" i="1"/>
  <c r="S515" i="1"/>
  <c r="P515" i="1"/>
  <c r="M515" i="1"/>
  <c r="J515" i="1"/>
  <c r="S514" i="1"/>
  <c r="P514" i="1"/>
  <c r="M514" i="1"/>
  <c r="J514" i="1"/>
  <c r="S513" i="1"/>
  <c r="P513" i="1"/>
  <c r="M513" i="1"/>
  <c r="J513" i="1"/>
  <c r="S512" i="1"/>
  <c r="P512" i="1"/>
  <c r="M512" i="1"/>
  <c r="J512" i="1"/>
  <c r="S511" i="1"/>
  <c r="P511" i="1"/>
  <c r="M511" i="1"/>
  <c r="J511" i="1"/>
  <c r="S510" i="1"/>
  <c r="P510" i="1"/>
  <c r="M510" i="1"/>
  <c r="J510" i="1"/>
  <c r="S509" i="1"/>
  <c r="P509" i="1"/>
  <c r="M509" i="1"/>
  <c r="J509" i="1"/>
  <c r="S508" i="1"/>
  <c r="P508" i="1"/>
  <c r="M508" i="1"/>
  <c r="J508" i="1"/>
  <c r="S507" i="1"/>
  <c r="P507" i="1"/>
  <c r="M507" i="1"/>
  <c r="J507" i="1"/>
  <c r="S506" i="1"/>
  <c r="P506" i="1"/>
  <c r="M506" i="1"/>
  <c r="J506" i="1"/>
  <c r="S505" i="1"/>
  <c r="P505" i="1"/>
  <c r="M505" i="1"/>
  <c r="J505" i="1"/>
  <c r="S504" i="1"/>
  <c r="P504" i="1"/>
  <c r="M504" i="1"/>
  <c r="J504" i="1"/>
  <c r="S503" i="1"/>
  <c r="P503" i="1"/>
  <c r="M503" i="1"/>
  <c r="J503" i="1"/>
  <c r="S502" i="1"/>
  <c r="P502" i="1"/>
  <c r="M502" i="1"/>
  <c r="J502" i="1"/>
  <c r="S501" i="1"/>
  <c r="P501" i="1"/>
  <c r="M501" i="1"/>
  <c r="J501" i="1"/>
  <c r="S500" i="1"/>
  <c r="P500" i="1"/>
  <c r="M500" i="1"/>
  <c r="J500" i="1"/>
  <c r="S499" i="1"/>
  <c r="P499" i="1"/>
  <c r="M499" i="1"/>
  <c r="J499" i="1"/>
  <c r="S498" i="1"/>
  <c r="P498" i="1"/>
  <c r="M498" i="1"/>
  <c r="J498" i="1"/>
  <c r="S497" i="1"/>
  <c r="P497" i="1"/>
  <c r="M497" i="1"/>
  <c r="J497" i="1"/>
  <c r="S496" i="1"/>
  <c r="P496" i="1"/>
  <c r="M496" i="1"/>
  <c r="J496" i="1"/>
  <c r="S495" i="1"/>
  <c r="P495" i="1"/>
  <c r="M495" i="1"/>
  <c r="J495" i="1"/>
  <c r="S494" i="1"/>
  <c r="P494" i="1"/>
  <c r="M494" i="1"/>
  <c r="J494" i="1"/>
  <c r="S493" i="1"/>
  <c r="P493" i="1"/>
  <c r="M493" i="1"/>
  <c r="J493" i="1"/>
  <c r="S492" i="1"/>
  <c r="P492" i="1"/>
  <c r="M492" i="1"/>
  <c r="J492" i="1"/>
  <c r="S491" i="1"/>
  <c r="P491" i="1"/>
  <c r="M491" i="1"/>
  <c r="J491" i="1"/>
  <c r="S490" i="1"/>
  <c r="P490" i="1"/>
  <c r="M490" i="1"/>
  <c r="J490" i="1"/>
  <c r="S489" i="1"/>
  <c r="P489" i="1"/>
  <c r="M489" i="1"/>
  <c r="J489" i="1"/>
  <c r="S488" i="1"/>
  <c r="P488" i="1"/>
  <c r="M488" i="1"/>
  <c r="J488" i="1"/>
  <c r="S487" i="1"/>
  <c r="P487" i="1"/>
  <c r="M487" i="1"/>
  <c r="J487" i="1"/>
  <c r="S486" i="1"/>
  <c r="P486" i="1"/>
  <c r="M486" i="1"/>
  <c r="J486" i="1"/>
  <c r="S485" i="1"/>
  <c r="P485" i="1"/>
  <c r="M485" i="1"/>
  <c r="J485" i="1"/>
  <c r="S484" i="1"/>
  <c r="P484" i="1"/>
  <c r="M484" i="1"/>
  <c r="J484" i="1"/>
  <c r="S483" i="1"/>
  <c r="P483" i="1"/>
  <c r="M483" i="1"/>
  <c r="J483" i="1"/>
  <c r="S482" i="1"/>
  <c r="P482" i="1"/>
  <c r="M482" i="1"/>
  <c r="J482" i="1"/>
  <c r="S481" i="1"/>
  <c r="P481" i="1"/>
  <c r="M481" i="1"/>
  <c r="J481" i="1"/>
  <c r="S480" i="1"/>
  <c r="P480" i="1"/>
  <c r="M480" i="1"/>
  <c r="J480" i="1"/>
  <c r="S479" i="1"/>
  <c r="P479" i="1"/>
  <c r="M479" i="1"/>
  <c r="J479" i="1"/>
  <c r="S478" i="1"/>
  <c r="P478" i="1"/>
  <c r="M478" i="1"/>
  <c r="J478" i="1"/>
  <c r="S477" i="1"/>
  <c r="P477" i="1"/>
  <c r="M477" i="1"/>
  <c r="J477" i="1"/>
  <c r="S476" i="1"/>
  <c r="P476" i="1"/>
  <c r="M476" i="1"/>
  <c r="J476" i="1"/>
  <c r="S475" i="1"/>
  <c r="P475" i="1"/>
  <c r="M475" i="1"/>
  <c r="J475" i="1"/>
  <c r="S474" i="1"/>
  <c r="P474" i="1"/>
  <c r="M474" i="1"/>
  <c r="J474" i="1"/>
  <c r="S473" i="1"/>
  <c r="P473" i="1"/>
  <c r="M473" i="1"/>
  <c r="J473" i="1"/>
  <c r="S472" i="1"/>
  <c r="P472" i="1"/>
  <c r="M472" i="1"/>
  <c r="J472" i="1"/>
  <c r="S471" i="1"/>
  <c r="P471" i="1"/>
  <c r="M471" i="1"/>
  <c r="J471" i="1"/>
  <c r="S470" i="1"/>
  <c r="P470" i="1"/>
  <c r="M470" i="1"/>
  <c r="J470" i="1"/>
  <c r="S469" i="1"/>
  <c r="P469" i="1"/>
  <c r="M469" i="1"/>
  <c r="J469" i="1"/>
  <c r="S468" i="1"/>
  <c r="P468" i="1"/>
  <c r="M468" i="1"/>
  <c r="J468" i="1"/>
  <c r="S467" i="1"/>
  <c r="P467" i="1"/>
  <c r="M467" i="1"/>
  <c r="J467" i="1"/>
  <c r="S466" i="1"/>
  <c r="P466" i="1"/>
  <c r="M466" i="1"/>
  <c r="J466" i="1"/>
  <c r="S465" i="1"/>
  <c r="P465" i="1"/>
  <c r="M465" i="1"/>
  <c r="J465" i="1"/>
  <c r="S464" i="1"/>
  <c r="P464" i="1"/>
  <c r="M464" i="1"/>
  <c r="J464" i="1"/>
  <c r="S463" i="1"/>
  <c r="P463" i="1"/>
  <c r="M463" i="1"/>
  <c r="J463" i="1"/>
  <c r="S462" i="1"/>
  <c r="P462" i="1"/>
  <c r="M462" i="1"/>
  <c r="J462" i="1"/>
  <c r="S461" i="1"/>
  <c r="P461" i="1"/>
  <c r="M461" i="1"/>
  <c r="J461" i="1"/>
  <c r="S460" i="1"/>
  <c r="P460" i="1"/>
  <c r="M460" i="1"/>
  <c r="J460" i="1"/>
  <c r="S459" i="1"/>
  <c r="P459" i="1"/>
  <c r="M459" i="1"/>
  <c r="J459" i="1"/>
  <c r="S458" i="1"/>
  <c r="P458" i="1"/>
  <c r="M458" i="1"/>
  <c r="J458" i="1"/>
  <c r="S457" i="1"/>
  <c r="P457" i="1"/>
  <c r="M457" i="1"/>
  <c r="J457" i="1"/>
  <c r="S456" i="1"/>
  <c r="P456" i="1"/>
  <c r="M456" i="1"/>
  <c r="J456" i="1"/>
  <c r="S455" i="1"/>
  <c r="P455" i="1"/>
  <c r="M455" i="1"/>
  <c r="J455" i="1"/>
  <c r="S454" i="1"/>
  <c r="P454" i="1"/>
  <c r="M454" i="1"/>
  <c r="J454" i="1"/>
  <c r="S453" i="1"/>
  <c r="P453" i="1"/>
  <c r="M453" i="1"/>
  <c r="J453" i="1"/>
  <c r="S452" i="1"/>
  <c r="P452" i="1"/>
  <c r="M452" i="1"/>
  <c r="J452" i="1"/>
  <c r="S451" i="1"/>
  <c r="P451" i="1"/>
  <c r="M451" i="1"/>
  <c r="J451" i="1"/>
  <c r="S450" i="1"/>
  <c r="P450" i="1"/>
  <c r="M450" i="1"/>
  <c r="J450" i="1"/>
  <c r="S449" i="1"/>
  <c r="P449" i="1"/>
  <c r="M449" i="1"/>
  <c r="J449" i="1"/>
  <c r="S448" i="1"/>
  <c r="P448" i="1"/>
  <c r="M448" i="1"/>
  <c r="J448" i="1"/>
  <c r="S447" i="1"/>
  <c r="P447" i="1"/>
  <c r="M447" i="1"/>
  <c r="J447" i="1"/>
  <c r="S446" i="1"/>
  <c r="P446" i="1"/>
  <c r="M446" i="1"/>
  <c r="J446" i="1"/>
  <c r="S445" i="1"/>
  <c r="P445" i="1"/>
  <c r="M445" i="1"/>
  <c r="J445" i="1"/>
  <c r="S444" i="1"/>
  <c r="P444" i="1"/>
  <c r="M444" i="1"/>
  <c r="J444" i="1"/>
  <c r="S443" i="1"/>
  <c r="P443" i="1"/>
  <c r="M443" i="1"/>
  <c r="J443" i="1"/>
  <c r="S442" i="1"/>
  <c r="P442" i="1"/>
  <c r="M442" i="1"/>
  <c r="J442" i="1"/>
  <c r="S441" i="1"/>
  <c r="P441" i="1"/>
  <c r="M441" i="1"/>
  <c r="J441" i="1"/>
  <c r="S440" i="1"/>
  <c r="P440" i="1"/>
  <c r="M440" i="1"/>
  <c r="J440" i="1"/>
  <c r="S439" i="1"/>
  <c r="P439" i="1"/>
  <c r="M439" i="1"/>
  <c r="J439" i="1"/>
  <c r="S438" i="1"/>
  <c r="P438" i="1"/>
  <c r="M438" i="1"/>
  <c r="J438" i="1"/>
  <c r="S437" i="1"/>
  <c r="P437" i="1"/>
  <c r="M437" i="1"/>
  <c r="J437" i="1"/>
  <c r="S436" i="1"/>
  <c r="P436" i="1"/>
  <c r="M436" i="1"/>
  <c r="J436" i="1"/>
  <c r="S435" i="1"/>
  <c r="P435" i="1"/>
  <c r="M435" i="1"/>
  <c r="J435" i="1"/>
  <c r="S434" i="1"/>
  <c r="P434" i="1"/>
  <c r="M434" i="1"/>
  <c r="J434" i="1"/>
  <c r="S433" i="1"/>
  <c r="P433" i="1"/>
  <c r="M433" i="1"/>
  <c r="J433" i="1"/>
  <c r="S432" i="1"/>
  <c r="P432" i="1"/>
  <c r="M432" i="1"/>
  <c r="J432" i="1"/>
  <c r="S431" i="1"/>
  <c r="P431" i="1"/>
  <c r="M431" i="1"/>
  <c r="J431" i="1"/>
  <c r="S430" i="1"/>
  <c r="P430" i="1"/>
  <c r="M430" i="1"/>
  <c r="J430" i="1"/>
  <c r="S429" i="1"/>
  <c r="P429" i="1"/>
  <c r="M429" i="1"/>
  <c r="J429" i="1"/>
  <c r="S428" i="1"/>
  <c r="P428" i="1"/>
  <c r="M428" i="1"/>
  <c r="J428" i="1"/>
  <c r="S427" i="1"/>
  <c r="P427" i="1"/>
  <c r="M427" i="1"/>
  <c r="J427" i="1"/>
  <c r="S426" i="1"/>
  <c r="P426" i="1"/>
  <c r="M426" i="1"/>
  <c r="J426" i="1"/>
  <c r="S425" i="1"/>
  <c r="P425" i="1"/>
  <c r="M425" i="1"/>
  <c r="J425" i="1"/>
  <c r="S424" i="1"/>
  <c r="P424" i="1"/>
  <c r="M424" i="1"/>
  <c r="J424" i="1"/>
  <c r="S423" i="1"/>
  <c r="P423" i="1"/>
  <c r="M423" i="1"/>
  <c r="J423" i="1"/>
  <c r="S422" i="1"/>
  <c r="P422" i="1"/>
  <c r="M422" i="1"/>
  <c r="J422" i="1"/>
  <c r="S421" i="1"/>
  <c r="P421" i="1"/>
  <c r="M421" i="1"/>
  <c r="J421" i="1"/>
  <c r="S420" i="1"/>
  <c r="P420" i="1"/>
  <c r="M420" i="1"/>
  <c r="J420" i="1"/>
  <c r="S419" i="1"/>
  <c r="P419" i="1"/>
  <c r="M419" i="1"/>
  <c r="J419" i="1"/>
  <c r="S418" i="1"/>
  <c r="P418" i="1"/>
  <c r="M418" i="1"/>
  <c r="J418" i="1"/>
  <c r="S417" i="1"/>
  <c r="P417" i="1"/>
  <c r="M417" i="1"/>
  <c r="J417" i="1"/>
  <c r="S416" i="1"/>
  <c r="P416" i="1"/>
  <c r="M416" i="1"/>
  <c r="J416" i="1"/>
  <c r="S415" i="1"/>
  <c r="P415" i="1"/>
  <c r="M415" i="1"/>
  <c r="J415" i="1"/>
  <c r="S414" i="1"/>
  <c r="P414" i="1"/>
  <c r="M414" i="1"/>
  <c r="J414" i="1"/>
  <c r="S413" i="1"/>
  <c r="P413" i="1"/>
  <c r="M413" i="1"/>
  <c r="J413" i="1"/>
  <c r="S412" i="1"/>
  <c r="P412" i="1"/>
  <c r="M412" i="1"/>
  <c r="J412" i="1"/>
  <c r="S411" i="1"/>
  <c r="P411" i="1"/>
  <c r="M411" i="1"/>
  <c r="J411" i="1"/>
  <c r="S410" i="1"/>
  <c r="P410" i="1"/>
  <c r="M410" i="1"/>
  <c r="J410" i="1"/>
  <c r="S409" i="1"/>
  <c r="P409" i="1"/>
  <c r="M409" i="1"/>
  <c r="J409" i="1"/>
  <c r="S408" i="1"/>
  <c r="P408" i="1"/>
  <c r="M408" i="1"/>
  <c r="J408" i="1"/>
  <c r="S407" i="1"/>
  <c r="P407" i="1"/>
  <c r="M407" i="1"/>
  <c r="J407" i="1"/>
  <c r="S406" i="1"/>
  <c r="P406" i="1"/>
  <c r="M406" i="1"/>
  <c r="J406" i="1"/>
  <c r="S405" i="1"/>
  <c r="P405" i="1"/>
  <c r="M405" i="1"/>
  <c r="J405" i="1"/>
  <c r="S404" i="1"/>
  <c r="P404" i="1"/>
  <c r="M404" i="1"/>
  <c r="J404" i="1"/>
  <c r="S403" i="1"/>
  <c r="P403" i="1"/>
  <c r="M403" i="1"/>
  <c r="J403" i="1"/>
  <c r="S402" i="1"/>
  <c r="P402" i="1"/>
  <c r="M402" i="1"/>
  <c r="J402" i="1"/>
  <c r="S401" i="1"/>
  <c r="P401" i="1"/>
  <c r="M401" i="1"/>
  <c r="J401" i="1"/>
  <c r="S400" i="1"/>
  <c r="P400" i="1"/>
  <c r="M400" i="1"/>
  <c r="J400" i="1"/>
  <c r="S399" i="1"/>
  <c r="P399" i="1"/>
  <c r="M399" i="1"/>
  <c r="J399" i="1"/>
  <c r="S398" i="1"/>
  <c r="P398" i="1"/>
  <c r="M398" i="1"/>
  <c r="J398" i="1"/>
  <c r="S397" i="1"/>
  <c r="P397" i="1"/>
  <c r="M397" i="1"/>
  <c r="J397" i="1"/>
  <c r="S396" i="1"/>
  <c r="P396" i="1"/>
  <c r="M396" i="1"/>
  <c r="J396" i="1"/>
  <c r="S395" i="1"/>
  <c r="P395" i="1"/>
  <c r="M395" i="1"/>
  <c r="J395" i="1"/>
  <c r="S394" i="1"/>
  <c r="P394" i="1"/>
  <c r="M394" i="1"/>
  <c r="J394" i="1"/>
  <c r="S393" i="1"/>
  <c r="P393" i="1"/>
  <c r="M393" i="1"/>
  <c r="J393" i="1"/>
  <c r="S392" i="1"/>
  <c r="P392" i="1"/>
  <c r="M392" i="1"/>
  <c r="J392" i="1"/>
  <c r="S391" i="1"/>
  <c r="P391" i="1"/>
  <c r="M391" i="1"/>
  <c r="J391" i="1"/>
  <c r="S390" i="1"/>
  <c r="P390" i="1"/>
  <c r="M390" i="1"/>
  <c r="J390" i="1"/>
  <c r="S389" i="1"/>
  <c r="P389" i="1"/>
  <c r="M389" i="1"/>
  <c r="J389" i="1"/>
  <c r="S388" i="1"/>
  <c r="P388" i="1"/>
  <c r="M388" i="1"/>
  <c r="J388" i="1"/>
  <c r="S387" i="1"/>
  <c r="P387" i="1"/>
  <c r="M387" i="1"/>
  <c r="J387" i="1"/>
  <c r="S386" i="1"/>
  <c r="P386" i="1"/>
  <c r="M386" i="1"/>
  <c r="J386" i="1"/>
  <c r="S385" i="1"/>
  <c r="P385" i="1"/>
  <c r="M385" i="1"/>
  <c r="J385" i="1"/>
  <c r="S384" i="1"/>
  <c r="P384" i="1"/>
  <c r="M384" i="1"/>
  <c r="J384" i="1"/>
  <c r="S383" i="1"/>
  <c r="P383" i="1"/>
  <c r="M383" i="1"/>
  <c r="J383" i="1"/>
  <c r="S382" i="1"/>
  <c r="P382" i="1"/>
  <c r="M382" i="1"/>
  <c r="J382" i="1"/>
  <c r="S381" i="1"/>
  <c r="P381" i="1"/>
  <c r="M381" i="1"/>
  <c r="J381" i="1"/>
  <c r="S380" i="1"/>
  <c r="P380" i="1"/>
  <c r="M380" i="1"/>
  <c r="J380" i="1"/>
  <c r="S379" i="1"/>
  <c r="P379" i="1"/>
  <c r="M379" i="1"/>
  <c r="J379" i="1"/>
  <c r="S378" i="1"/>
  <c r="P378" i="1"/>
  <c r="M378" i="1"/>
  <c r="J378" i="1"/>
  <c r="S377" i="1"/>
  <c r="P377" i="1"/>
  <c r="M377" i="1"/>
  <c r="J377" i="1"/>
  <c r="S376" i="1"/>
  <c r="P376" i="1"/>
  <c r="M376" i="1"/>
  <c r="J376" i="1"/>
  <c r="S375" i="1"/>
  <c r="P375" i="1"/>
  <c r="M375" i="1"/>
  <c r="J375" i="1"/>
  <c r="S374" i="1"/>
  <c r="P374" i="1"/>
  <c r="M374" i="1"/>
  <c r="J374" i="1"/>
  <c r="S373" i="1"/>
  <c r="P373" i="1"/>
  <c r="M373" i="1"/>
  <c r="J373" i="1"/>
  <c r="S372" i="1"/>
  <c r="P372" i="1"/>
  <c r="M372" i="1"/>
  <c r="J372" i="1"/>
  <c r="S371" i="1"/>
  <c r="P371" i="1"/>
  <c r="M371" i="1"/>
  <c r="J371" i="1"/>
  <c r="S370" i="1"/>
  <c r="P370" i="1"/>
  <c r="M370" i="1"/>
  <c r="J370" i="1"/>
  <c r="S369" i="1"/>
  <c r="P369" i="1"/>
  <c r="M369" i="1"/>
  <c r="J369" i="1"/>
  <c r="S368" i="1"/>
  <c r="P368" i="1"/>
  <c r="M368" i="1"/>
  <c r="J368" i="1"/>
  <c r="S367" i="1"/>
  <c r="P367" i="1"/>
  <c r="M367" i="1"/>
  <c r="J367" i="1"/>
  <c r="S366" i="1"/>
  <c r="P366" i="1"/>
  <c r="M366" i="1"/>
  <c r="J366" i="1"/>
  <c r="S365" i="1"/>
  <c r="P365" i="1"/>
  <c r="M365" i="1"/>
  <c r="J365" i="1"/>
  <c r="S364" i="1"/>
  <c r="P364" i="1"/>
  <c r="M364" i="1"/>
  <c r="J364" i="1"/>
  <c r="S363" i="1"/>
  <c r="P363" i="1"/>
  <c r="M363" i="1"/>
  <c r="J363" i="1"/>
  <c r="S362" i="1"/>
  <c r="P362" i="1"/>
  <c r="M362" i="1"/>
  <c r="J362" i="1"/>
  <c r="S361" i="1"/>
  <c r="P361" i="1"/>
  <c r="M361" i="1"/>
  <c r="J361" i="1"/>
  <c r="S360" i="1"/>
  <c r="P360" i="1"/>
  <c r="M360" i="1"/>
  <c r="J360" i="1"/>
  <c r="S359" i="1"/>
  <c r="P359" i="1"/>
  <c r="M359" i="1"/>
  <c r="J359" i="1"/>
  <c r="S358" i="1"/>
  <c r="P358" i="1"/>
  <c r="M358" i="1"/>
  <c r="J358" i="1"/>
  <c r="S357" i="1"/>
  <c r="P357" i="1"/>
  <c r="M357" i="1"/>
  <c r="J357" i="1"/>
  <c r="S356" i="1"/>
  <c r="P356" i="1"/>
  <c r="M356" i="1"/>
  <c r="J356" i="1"/>
  <c r="S355" i="1"/>
  <c r="P355" i="1"/>
  <c r="M355" i="1"/>
  <c r="J355" i="1"/>
  <c r="S354" i="1"/>
  <c r="P354" i="1"/>
  <c r="M354" i="1"/>
  <c r="J354" i="1"/>
  <c r="S353" i="1"/>
  <c r="P353" i="1"/>
  <c r="M353" i="1"/>
  <c r="J353" i="1"/>
  <c r="S352" i="1"/>
  <c r="P352" i="1"/>
  <c r="M352" i="1"/>
  <c r="J352" i="1"/>
  <c r="S351" i="1"/>
  <c r="P351" i="1"/>
  <c r="M351" i="1"/>
  <c r="J351" i="1"/>
  <c r="S350" i="1"/>
  <c r="P350" i="1"/>
  <c r="M350" i="1"/>
  <c r="J350" i="1"/>
  <c r="S349" i="1"/>
  <c r="P349" i="1"/>
  <c r="M349" i="1"/>
  <c r="J349" i="1"/>
  <c r="S348" i="1"/>
  <c r="P348" i="1"/>
  <c r="M348" i="1"/>
  <c r="J348" i="1"/>
  <c r="S347" i="1"/>
  <c r="P347" i="1"/>
  <c r="M347" i="1"/>
  <c r="J347" i="1"/>
  <c r="S346" i="1"/>
  <c r="P346" i="1"/>
  <c r="M346" i="1"/>
  <c r="J346" i="1"/>
  <c r="S345" i="1"/>
  <c r="P345" i="1"/>
  <c r="M345" i="1"/>
  <c r="J345" i="1"/>
  <c r="S344" i="1"/>
  <c r="P344" i="1"/>
  <c r="M344" i="1"/>
  <c r="J344" i="1"/>
  <c r="S343" i="1"/>
  <c r="P343" i="1"/>
  <c r="M343" i="1"/>
  <c r="J343" i="1"/>
  <c r="S342" i="1"/>
  <c r="P342" i="1"/>
  <c r="M342" i="1"/>
  <c r="J342" i="1"/>
  <c r="S341" i="1"/>
  <c r="P341" i="1"/>
  <c r="M341" i="1"/>
  <c r="J341" i="1"/>
  <c r="S340" i="1"/>
  <c r="P340" i="1"/>
  <c r="M340" i="1"/>
  <c r="J340" i="1"/>
  <c r="S339" i="1"/>
  <c r="P339" i="1"/>
  <c r="M339" i="1"/>
  <c r="J339" i="1"/>
  <c r="S338" i="1"/>
  <c r="P338" i="1"/>
  <c r="M338" i="1"/>
  <c r="J338" i="1"/>
  <c r="S337" i="1"/>
  <c r="P337" i="1"/>
  <c r="M337" i="1"/>
  <c r="J337" i="1"/>
  <c r="S336" i="1"/>
  <c r="P336" i="1"/>
  <c r="M336" i="1"/>
  <c r="J336" i="1"/>
  <c r="S335" i="1"/>
  <c r="P335" i="1"/>
  <c r="M335" i="1"/>
  <c r="J335" i="1"/>
  <c r="S334" i="1"/>
  <c r="P334" i="1"/>
  <c r="M334" i="1"/>
  <c r="J334" i="1"/>
  <c r="S333" i="1"/>
  <c r="P333" i="1"/>
  <c r="M333" i="1"/>
  <c r="J333" i="1"/>
  <c r="S332" i="1"/>
  <c r="P332" i="1"/>
  <c r="M332" i="1"/>
  <c r="J332" i="1"/>
  <c r="S331" i="1"/>
  <c r="P331" i="1"/>
  <c r="M331" i="1"/>
  <c r="J331" i="1"/>
  <c r="S330" i="1"/>
  <c r="P330" i="1"/>
  <c r="M330" i="1"/>
  <c r="J330" i="1"/>
  <c r="S329" i="1"/>
  <c r="P329" i="1"/>
  <c r="M329" i="1"/>
  <c r="J329" i="1"/>
  <c r="S328" i="1"/>
  <c r="P328" i="1"/>
  <c r="M328" i="1"/>
  <c r="J328" i="1"/>
  <c r="S327" i="1"/>
  <c r="P327" i="1"/>
  <c r="M327" i="1"/>
  <c r="J327" i="1"/>
  <c r="S326" i="1"/>
  <c r="P326" i="1"/>
  <c r="M326" i="1"/>
  <c r="J326" i="1"/>
  <c r="S325" i="1"/>
  <c r="P325" i="1"/>
  <c r="M325" i="1"/>
  <c r="J325" i="1"/>
  <c r="S324" i="1"/>
  <c r="P324" i="1"/>
  <c r="M324" i="1"/>
  <c r="J324" i="1"/>
  <c r="S323" i="1"/>
  <c r="P323" i="1"/>
  <c r="M323" i="1"/>
  <c r="J323" i="1"/>
  <c r="S322" i="1"/>
  <c r="P322" i="1"/>
  <c r="M322" i="1"/>
  <c r="J322" i="1"/>
  <c r="S321" i="1"/>
  <c r="P321" i="1"/>
  <c r="M321" i="1"/>
  <c r="J321" i="1"/>
  <c r="S320" i="1"/>
  <c r="P320" i="1"/>
  <c r="M320" i="1"/>
  <c r="J320" i="1"/>
  <c r="S319" i="1"/>
  <c r="P319" i="1"/>
  <c r="M319" i="1"/>
  <c r="J319" i="1"/>
  <c r="S318" i="1"/>
  <c r="P318" i="1"/>
  <c r="M318" i="1"/>
  <c r="J318" i="1"/>
  <c r="S317" i="1"/>
  <c r="P317" i="1"/>
  <c r="M317" i="1"/>
  <c r="J317" i="1"/>
  <c r="S316" i="1"/>
  <c r="P316" i="1"/>
  <c r="M316" i="1"/>
  <c r="J316" i="1"/>
  <c r="S315" i="1"/>
  <c r="P315" i="1"/>
  <c r="M315" i="1"/>
  <c r="J315" i="1"/>
  <c r="S314" i="1"/>
  <c r="P314" i="1"/>
  <c r="M314" i="1"/>
  <c r="J314" i="1"/>
  <c r="S313" i="1"/>
  <c r="P313" i="1"/>
  <c r="M313" i="1"/>
  <c r="J313" i="1"/>
  <c r="S312" i="1"/>
  <c r="P312" i="1"/>
  <c r="M312" i="1"/>
  <c r="J312" i="1"/>
  <c r="S311" i="1"/>
  <c r="P311" i="1"/>
  <c r="M311" i="1"/>
  <c r="J311" i="1"/>
  <c r="S310" i="1"/>
  <c r="P310" i="1"/>
  <c r="M310" i="1"/>
  <c r="J310" i="1"/>
  <c r="S309" i="1"/>
  <c r="P309" i="1"/>
  <c r="M309" i="1"/>
  <c r="J309" i="1"/>
  <c r="S308" i="1"/>
  <c r="P308" i="1"/>
  <c r="M308" i="1"/>
  <c r="J308" i="1"/>
  <c r="S307" i="1"/>
  <c r="P307" i="1"/>
  <c r="M307" i="1"/>
  <c r="J307" i="1"/>
  <c r="S306" i="1"/>
  <c r="P306" i="1"/>
  <c r="M306" i="1"/>
  <c r="J306" i="1"/>
  <c r="S305" i="1"/>
  <c r="P305" i="1"/>
  <c r="M305" i="1"/>
  <c r="J305" i="1"/>
  <c r="S304" i="1"/>
  <c r="P304" i="1"/>
  <c r="M304" i="1"/>
  <c r="J304" i="1"/>
  <c r="S303" i="1"/>
  <c r="P303" i="1"/>
  <c r="M303" i="1"/>
  <c r="J303" i="1"/>
  <c r="S302" i="1"/>
  <c r="P302" i="1"/>
  <c r="M302" i="1"/>
  <c r="J302" i="1"/>
  <c r="S301" i="1"/>
  <c r="P301" i="1"/>
  <c r="M301" i="1"/>
  <c r="J301" i="1"/>
  <c r="S300" i="1"/>
  <c r="P300" i="1"/>
  <c r="M300" i="1"/>
  <c r="J300" i="1"/>
  <c r="S299" i="1"/>
  <c r="P299" i="1"/>
  <c r="M299" i="1"/>
  <c r="J299" i="1"/>
  <c r="S298" i="1"/>
  <c r="P298" i="1"/>
  <c r="M298" i="1"/>
  <c r="J298" i="1"/>
  <c r="S297" i="1"/>
  <c r="P297" i="1"/>
  <c r="M297" i="1"/>
  <c r="J297" i="1"/>
  <c r="S296" i="1"/>
  <c r="P296" i="1"/>
  <c r="M296" i="1"/>
  <c r="J296" i="1"/>
  <c r="S295" i="1"/>
  <c r="P295" i="1"/>
  <c r="M295" i="1"/>
  <c r="J295" i="1"/>
  <c r="S294" i="1"/>
  <c r="P294" i="1"/>
  <c r="M294" i="1"/>
  <c r="J294" i="1"/>
  <c r="S293" i="1"/>
  <c r="P293" i="1"/>
  <c r="M293" i="1"/>
  <c r="J293" i="1"/>
  <c r="S292" i="1"/>
  <c r="P292" i="1"/>
  <c r="M292" i="1"/>
  <c r="J292" i="1"/>
  <c r="S291" i="1"/>
  <c r="P291" i="1"/>
  <c r="M291" i="1"/>
  <c r="J291" i="1"/>
  <c r="S290" i="1"/>
  <c r="P290" i="1"/>
  <c r="M290" i="1"/>
  <c r="J290" i="1"/>
  <c r="S289" i="1"/>
  <c r="P289" i="1"/>
  <c r="M289" i="1"/>
  <c r="J289" i="1"/>
  <c r="S288" i="1"/>
  <c r="P288" i="1"/>
  <c r="M288" i="1"/>
  <c r="J288" i="1"/>
  <c r="S287" i="1"/>
  <c r="P287" i="1"/>
  <c r="M287" i="1"/>
  <c r="J287" i="1"/>
  <c r="S286" i="1"/>
  <c r="P286" i="1"/>
  <c r="M286" i="1"/>
  <c r="J286" i="1"/>
  <c r="S285" i="1"/>
  <c r="P285" i="1"/>
  <c r="M285" i="1"/>
  <c r="J285" i="1"/>
  <c r="S284" i="1"/>
  <c r="P284" i="1"/>
  <c r="M284" i="1"/>
  <c r="J284" i="1"/>
  <c r="S283" i="1"/>
  <c r="P283" i="1"/>
  <c r="M283" i="1"/>
  <c r="J283" i="1"/>
  <c r="S282" i="1"/>
  <c r="P282" i="1"/>
  <c r="M282" i="1"/>
  <c r="J282" i="1"/>
  <c r="S281" i="1"/>
  <c r="P281" i="1"/>
  <c r="M281" i="1"/>
  <c r="J281" i="1"/>
  <c r="S280" i="1"/>
  <c r="P280" i="1"/>
  <c r="M280" i="1"/>
  <c r="J280" i="1"/>
  <c r="S279" i="1"/>
  <c r="P279" i="1"/>
  <c r="M279" i="1"/>
  <c r="J279" i="1"/>
  <c r="S278" i="1"/>
  <c r="P278" i="1"/>
  <c r="M278" i="1"/>
  <c r="J278" i="1"/>
  <c r="S277" i="1"/>
  <c r="P277" i="1"/>
  <c r="M277" i="1"/>
  <c r="J277" i="1"/>
  <c r="S276" i="1"/>
  <c r="P276" i="1"/>
  <c r="M276" i="1"/>
  <c r="J276" i="1"/>
  <c r="S275" i="1"/>
  <c r="P275" i="1"/>
  <c r="M275" i="1"/>
  <c r="J275" i="1"/>
  <c r="S274" i="1"/>
  <c r="P274" i="1"/>
  <c r="M274" i="1"/>
  <c r="J274" i="1"/>
  <c r="S273" i="1"/>
  <c r="P273" i="1"/>
  <c r="M273" i="1"/>
  <c r="J273" i="1"/>
  <c r="S272" i="1"/>
  <c r="P272" i="1"/>
  <c r="M272" i="1"/>
  <c r="J272" i="1"/>
  <c r="S271" i="1"/>
  <c r="P271" i="1"/>
  <c r="M271" i="1"/>
  <c r="J271" i="1"/>
  <c r="S270" i="1"/>
  <c r="P270" i="1"/>
  <c r="M270" i="1"/>
  <c r="J270" i="1"/>
  <c r="S269" i="1"/>
  <c r="P269" i="1"/>
  <c r="M269" i="1"/>
  <c r="J269" i="1"/>
  <c r="S268" i="1"/>
  <c r="P268" i="1"/>
  <c r="M268" i="1"/>
  <c r="J268" i="1"/>
  <c r="S267" i="1"/>
  <c r="P267" i="1"/>
  <c r="M267" i="1"/>
  <c r="J267" i="1"/>
  <c r="S266" i="1"/>
  <c r="P266" i="1"/>
  <c r="M266" i="1"/>
  <c r="J266" i="1"/>
  <c r="S265" i="1"/>
  <c r="P265" i="1"/>
  <c r="M265" i="1"/>
  <c r="J265" i="1"/>
  <c r="S264" i="1"/>
  <c r="P264" i="1"/>
  <c r="M264" i="1"/>
  <c r="J264" i="1"/>
  <c r="S263" i="1"/>
  <c r="P263" i="1"/>
  <c r="M263" i="1"/>
  <c r="J263" i="1"/>
  <c r="S262" i="1"/>
  <c r="P262" i="1"/>
  <c r="M262" i="1"/>
  <c r="J262" i="1"/>
  <c r="S261" i="1"/>
  <c r="P261" i="1"/>
  <c r="M261" i="1"/>
  <c r="J261" i="1"/>
  <c r="S260" i="1"/>
  <c r="P260" i="1"/>
  <c r="M260" i="1"/>
  <c r="J260" i="1"/>
  <c r="S259" i="1"/>
  <c r="P259" i="1"/>
  <c r="M259" i="1"/>
  <c r="J259" i="1"/>
  <c r="S258" i="1"/>
  <c r="P258" i="1"/>
  <c r="M258" i="1"/>
  <c r="J258" i="1"/>
  <c r="S257" i="1"/>
  <c r="P257" i="1"/>
  <c r="M257" i="1"/>
  <c r="J257" i="1"/>
  <c r="S256" i="1"/>
  <c r="P256" i="1"/>
  <c r="M256" i="1"/>
  <c r="J256" i="1"/>
  <c r="S255" i="1"/>
  <c r="P255" i="1"/>
  <c r="M255" i="1"/>
  <c r="J255" i="1"/>
  <c r="S254" i="1"/>
  <c r="P254" i="1"/>
  <c r="M254" i="1"/>
  <c r="J254" i="1"/>
  <c r="S253" i="1"/>
  <c r="P253" i="1"/>
  <c r="M253" i="1"/>
  <c r="J253" i="1"/>
  <c r="S252" i="1"/>
  <c r="P252" i="1"/>
  <c r="M252" i="1"/>
  <c r="J252" i="1"/>
  <c r="S251" i="1"/>
  <c r="P251" i="1"/>
  <c r="M251" i="1"/>
  <c r="J251" i="1"/>
  <c r="S250" i="1"/>
  <c r="P250" i="1"/>
  <c r="M250" i="1"/>
  <c r="J250" i="1"/>
  <c r="S249" i="1"/>
  <c r="P249" i="1"/>
  <c r="M249" i="1"/>
  <c r="J249" i="1"/>
  <c r="S248" i="1"/>
  <c r="P248" i="1"/>
  <c r="M248" i="1"/>
  <c r="J248" i="1"/>
  <c r="S247" i="1"/>
  <c r="P247" i="1"/>
  <c r="M247" i="1"/>
  <c r="J247" i="1"/>
  <c r="S246" i="1"/>
  <c r="P246" i="1"/>
  <c r="M246" i="1"/>
  <c r="J246" i="1"/>
  <c r="S245" i="1"/>
  <c r="P245" i="1"/>
  <c r="M245" i="1"/>
  <c r="J245" i="1"/>
  <c r="S244" i="1"/>
  <c r="P244" i="1"/>
  <c r="M244" i="1"/>
  <c r="J244" i="1"/>
  <c r="S243" i="1"/>
  <c r="P243" i="1"/>
  <c r="M243" i="1"/>
  <c r="J243" i="1"/>
  <c r="S242" i="1"/>
  <c r="P242" i="1"/>
  <c r="M242" i="1"/>
  <c r="J242" i="1"/>
  <c r="S241" i="1"/>
  <c r="P241" i="1"/>
  <c r="M241" i="1"/>
  <c r="J241" i="1"/>
  <c r="S240" i="1"/>
  <c r="P240" i="1"/>
  <c r="M240" i="1"/>
  <c r="J240" i="1"/>
  <c r="S239" i="1"/>
  <c r="P239" i="1"/>
  <c r="M239" i="1"/>
  <c r="J239" i="1"/>
  <c r="S238" i="1"/>
  <c r="P238" i="1"/>
  <c r="M238" i="1"/>
  <c r="J238" i="1"/>
  <c r="S237" i="1"/>
  <c r="P237" i="1"/>
  <c r="M237" i="1"/>
  <c r="J237" i="1"/>
  <c r="S236" i="1"/>
  <c r="P236" i="1"/>
  <c r="M236" i="1"/>
  <c r="J236" i="1"/>
  <c r="S235" i="1"/>
  <c r="P235" i="1"/>
  <c r="M235" i="1"/>
  <c r="J235" i="1"/>
  <c r="S234" i="1"/>
  <c r="P234" i="1"/>
  <c r="M234" i="1"/>
  <c r="J234" i="1"/>
  <c r="S233" i="1"/>
  <c r="P233" i="1"/>
  <c r="M233" i="1"/>
  <c r="J233" i="1"/>
  <c r="S232" i="1"/>
  <c r="P232" i="1"/>
  <c r="M232" i="1"/>
  <c r="J232" i="1"/>
  <c r="S231" i="1"/>
  <c r="P231" i="1"/>
  <c r="M231" i="1"/>
  <c r="J231" i="1"/>
  <c r="S230" i="1"/>
  <c r="P230" i="1"/>
  <c r="M230" i="1"/>
  <c r="J230" i="1"/>
  <c r="S229" i="1"/>
  <c r="P229" i="1"/>
  <c r="M229" i="1"/>
  <c r="J229" i="1"/>
  <c r="S228" i="1"/>
  <c r="P228" i="1"/>
  <c r="M228" i="1"/>
  <c r="J228" i="1"/>
  <c r="S227" i="1"/>
  <c r="P227" i="1"/>
  <c r="M227" i="1"/>
  <c r="J227" i="1"/>
  <c r="S226" i="1"/>
  <c r="P226" i="1"/>
  <c r="M226" i="1"/>
  <c r="J226" i="1"/>
  <c r="S225" i="1"/>
  <c r="P225" i="1"/>
  <c r="M225" i="1"/>
  <c r="J225" i="1"/>
  <c r="S224" i="1"/>
  <c r="P224" i="1"/>
  <c r="M224" i="1"/>
  <c r="J224" i="1"/>
  <c r="S223" i="1"/>
  <c r="P223" i="1"/>
  <c r="M223" i="1"/>
  <c r="J223" i="1"/>
  <c r="S222" i="1"/>
  <c r="P222" i="1"/>
  <c r="M222" i="1"/>
  <c r="J222" i="1"/>
  <c r="S221" i="1"/>
  <c r="P221" i="1"/>
  <c r="M221" i="1"/>
  <c r="J221" i="1"/>
  <c r="S220" i="1"/>
  <c r="P220" i="1"/>
  <c r="M220" i="1"/>
  <c r="J220" i="1"/>
  <c r="S219" i="1"/>
  <c r="P219" i="1"/>
  <c r="M219" i="1"/>
  <c r="J219" i="1"/>
  <c r="S218" i="1"/>
  <c r="P218" i="1"/>
  <c r="M218" i="1"/>
  <c r="J218" i="1"/>
  <c r="S217" i="1"/>
  <c r="P217" i="1"/>
  <c r="M217" i="1"/>
  <c r="J217" i="1"/>
  <c r="S216" i="1"/>
  <c r="P216" i="1"/>
  <c r="M216" i="1"/>
  <c r="J216" i="1"/>
  <c r="S215" i="1"/>
  <c r="P215" i="1"/>
  <c r="M215" i="1"/>
  <c r="J215" i="1"/>
  <c r="S214" i="1"/>
  <c r="P214" i="1"/>
  <c r="M214" i="1"/>
  <c r="J214" i="1"/>
  <c r="S213" i="1"/>
  <c r="P213" i="1"/>
  <c r="M213" i="1"/>
  <c r="J213" i="1"/>
  <c r="S212" i="1"/>
  <c r="P212" i="1"/>
  <c r="M212" i="1"/>
  <c r="J212" i="1"/>
  <c r="S211" i="1"/>
  <c r="P211" i="1"/>
  <c r="M211" i="1"/>
  <c r="J211" i="1"/>
  <c r="S210" i="1"/>
  <c r="P210" i="1"/>
  <c r="M210" i="1"/>
  <c r="J210" i="1"/>
  <c r="S209" i="1"/>
  <c r="P209" i="1"/>
  <c r="M209" i="1"/>
  <c r="J209" i="1"/>
  <c r="S208" i="1"/>
  <c r="P208" i="1"/>
  <c r="M208" i="1"/>
  <c r="J208" i="1"/>
  <c r="S207" i="1"/>
  <c r="P207" i="1"/>
  <c r="M207" i="1"/>
  <c r="J207" i="1"/>
  <c r="S206" i="1"/>
  <c r="P206" i="1"/>
  <c r="M206" i="1"/>
  <c r="J206" i="1"/>
  <c r="S205" i="1"/>
  <c r="P205" i="1"/>
  <c r="M205" i="1"/>
  <c r="J205" i="1"/>
  <c r="S204" i="1"/>
  <c r="P204" i="1"/>
  <c r="M204" i="1"/>
  <c r="J204" i="1"/>
  <c r="S203" i="1"/>
  <c r="P203" i="1"/>
  <c r="M203" i="1"/>
  <c r="J203" i="1"/>
  <c r="S202" i="1"/>
  <c r="P202" i="1"/>
  <c r="M202" i="1"/>
  <c r="J202" i="1"/>
  <c r="S201" i="1"/>
  <c r="P201" i="1"/>
  <c r="M201" i="1"/>
  <c r="J201" i="1"/>
  <c r="S200" i="1"/>
  <c r="P200" i="1"/>
  <c r="M200" i="1"/>
  <c r="J200" i="1"/>
  <c r="S199" i="1"/>
  <c r="P199" i="1"/>
  <c r="M199" i="1"/>
  <c r="J199" i="1"/>
  <c r="S198" i="1"/>
  <c r="P198" i="1"/>
  <c r="M198" i="1"/>
  <c r="J198" i="1"/>
  <c r="S197" i="1"/>
  <c r="P197" i="1"/>
  <c r="M197" i="1"/>
  <c r="J197" i="1"/>
  <c r="S196" i="1"/>
  <c r="P196" i="1"/>
  <c r="M196" i="1"/>
  <c r="J196" i="1"/>
  <c r="S195" i="1"/>
  <c r="P195" i="1"/>
  <c r="M195" i="1"/>
  <c r="J195" i="1"/>
  <c r="S194" i="1"/>
  <c r="P194" i="1"/>
  <c r="M194" i="1"/>
  <c r="J194" i="1"/>
  <c r="S193" i="1"/>
  <c r="P193" i="1"/>
  <c r="M193" i="1"/>
  <c r="J193" i="1"/>
  <c r="S192" i="1"/>
  <c r="P192" i="1"/>
  <c r="M192" i="1"/>
  <c r="J192" i="1"/>
  <c r="S191" i="1"/>
  <c r="P191" i="1"/>
  <c r="M191" i="1"/>
  <c r="J191" i="1"/>
  <c r="S190" i="1"/>
  <c r="P190" i="1"/>
  <c r="M190" i="1"/>
  <c r="J190" i="1"/>
  <c r="S189" i="1"/>
  <c r="P189" i="1"/>
  <c r="M189" i="1"/>
  <c r="J189" i="1"/>
  <c r="S188" i="1"/>
  <c r="P188" i="1"/>
  <c r="M188" i="1"/>
  <c r="J188" i="1"/>
  <c r="S187" i="1"/>
  <c r="P187" i="1"/>
  <c r="M187" i="1"/>
  <c r="J187" i="1"/>
  <c r="S186" i="1"/>
  <c r="P186" i="1"/>
  <c r="M186" i="1"/>
  <c r="J186" i="1"/>
  <c r="S185" i="1"/>
  <c r="P185" i="1"/>
  <c r="M185" i="1"/>
  <c r="J185" i="1"/>
  <c r="S184" i="1"/>
  <c r="P184" i="1"/>
  <c r="M184" i="1"/>
  <c r="J184" i="1"/>
  <c r="S183" i="1"/>
  <c r="P183" i="1"/>
  <c r="M183" i="1"/>
  <c r="J183" i="1"/>
  <c r="S182" i="1"/>
  <c r="P182" i="1"/>
  <c r="M182" i="1"/>
  <c r="J182" i="1"/>
  <c r="S181" i="1"/>
  <c r="P181" i="1"/>
  <c r="M181" i="1"/>
  <c r="J181" i="1"/>
  <c r="S180" i="1"/>
  <c r="P180" i="1"/>
  <c r="M180" i="1"/>
  <c r="J180" i="1"/>
  <c r="S179" i="1"/>
  <c r="P179" i="1"/>
  <c r="M179" i="1"/>
  <c r="J179" i="1"/>
  <c r="S178" i="1"/>
  <c r="P178" i="1"/>
  <c r="M178" i="1"/>
  <c r="J178" i="1"/>
  <c r="S177" i="1"/>
  <c r="P177" i="1"/>
  <c r="M177" i="1"/>
  <c r="J177" i="1"/>
  <c r="S176" i="1"/>
  <c r="P176" i="1"/>
  <c r="M176" i="1"/>
  <c r="J176" i="1"/>
  <c r="S175" i="1"/>
  <c r="P175" i="1"/>
  <c r="M175" i="1"/>
  <c r="J175" i="1"/>
  <c r="S174" i="1"/>
  <c r="P174" i="1"/>
  <c r="M174" i="1"/>
  <c r="J174" i="1"/>
  <c r="S173" i="1"/>
  <c r="P173" i="1"/>
  <c r="M173" i="1"/>
  <c r="J173" i="1"/>
  <c r="S172" i="1"/>
  <c r="P172" i="1"/>
  <c r="M172" i="1"/>
  <c r="J172" i="1"/>
  <c r="S171" i="1"/>
  <c r="P171" i="1"/>
  <c r="M171" i="1"/>
  <c r="J171" i="1"/>
  <c r="S170" i="1"/>
  <c r="P170" i="1"/>
  <c r="M170" i="1"/>
  <c r="J170" i="1"/>
  <c r="S169" i="1"/>
  <c r="P169" i="1"/>
  <c r="M169" i="1"/>
  <c r="J169" i="1"/>
  <c r="S168" i="1"/>
  <c r="P168" i="1"/>
  <c r="M168" i="1"/>
  <c r="J168" i="1"/>
  <c r="S167" i="1"/>
  <c r="P167" i="1"/>
  <c r="M167" i="1"/>
  <c r="J167" i="1"/>
  <c r="S166" i="1"/>
  <c r="P166" i="1"/>
  <c r="M166" i="1"/>
  <c r="J166" i="1"/>
  <c r="S165" i="1"/>
  <c r="P165" i="1"/>
  <c r="M165" i="1"/>
  <c r="J165" i="1"/>
  <c r="S164" i="1"/>
  <c r="P164" i="1"/>
  <c r="M164" i="1"/>
  <c r="J164" i="1"/>
  <c r="S163" i="1"/>
  <c r="P163" i="1"/>
  <c r="M163" i="1"/>
  <c r="J163" i="1"/>
  <c r="S162" i="1"/>
  <c r="P162" i="1"/>
  <c r="M162" i="1"/>
  <c r="J162" i="1"/>
  <c r="S161" i="1"/>
  <c r="P161" i="1"/>
  <c r="M161" i="1"/>
  <c r="J161" i="1"/>
  <c r="S160" i="1"/>
  <c r="P160" i="1"/>
  <c r="M160" i="1"/>
  <c r="J160" i="1"/>
  <c r="S159" i="1"/>
  <c r="P159" i="1"/>
  <c r="M159" i="1"/>
  <c r="J159" i="1"/>
  <c r="S158" i="1"/>
  <c r="P158" i="1"/>
  <c r="M158" i="1"/>
  <c r="J158" i="1"/>
  <c r="S157" i="1"/>
  <c r="P157" i="1"/>
  <c r="M157" i="1"/>
  <c r="J157" i="1"/>
  <c r="S156" i="1"/>
  <c r="P156" i="1"/>
  <c r="M156" i="1"/>
  <c r="J156" i="1"/>
  <c r="S155" i="1"/>
  <c r="P155" i="1"/>
  <c r="M155" i="1"/>
  <c r="J155" i="1"/>
  <c r="S154" i="1"/>
  <c r="P154" i="1"/>
  <c r="M154" i="1"/>
  <c r="J154" i="1"/>
  <c r="S153" i="1"/>
  <c r="P153" i="1"/>
  <c r="M153" i="1"/>
  <c r="J153" i="1"/>
  <c r="S152" i="1"/>
  <c r="P152" i="1"/>
  <c r="M152" i="1"/>
  <c r="J152" i="1"/>
  <c r="S151" i="1"/>
  <c r="P151" i="1"/>
  <c r="M151" i="1"/>
  <c r="J151" i="1"/>
  <c r="S150" i="1"/>
  <c r="P150" i="1"/>
  <c r="M150" i="1"/>
  <c r="J150" i="1"/>
  <c r="S149" i="1"/>
  <c r="P149" i="1"/>
  <c r="M149" i="1"/>
  <c r="J149" i="1"/>
  <c r="S148" i="1"/>
  <c r="P148" i="1"/>
  <c r="M148" i="1"/>
  <c r="J148" i="1"/>
  <c r="S147" i="1"/>
  <c r="P147" i="1"/>
  <c r="M147" i="1"/>
  <c r="J147" i="1"/>
  <c r="S146" i="1"/>
  <c r="P146" i="1"/>
  <c r="M146" i="1"/>
  <c r="J146" i="1"/>
  <c r="S145" i="1"/>
  <c r="P145" i="1"/>
  <c r="M145" i="1"/>
  <c r="J145" i="1"/>
  <c r="S144" i="1"/>
  <c r="P144" i="1"/>
  <c r="M144" i="1"/>
  <c r="J144" i="1"/>
  <c r="S143" i="1"/>
  <c r="P143" i="1"/>
  <c r="M143" i="1"/>
  <c r="J143" i="1"/>
  <c r="S142" i="1"/>
  <c r="P142" i="1"/>
  <c r="M142" i="1"/>
  <c r="J142" i="1"/>
  <c r="S141" i="1"/>
  <c r="P141" i="1"/>
  <c r="M141" i="1"/>
  <c r="J141" i="1"/>
  <c r="S140" i="1"/>
  <c r="P140" i="1"/>
  <c r="M140" i="1"/>
  <c r="J140" i="1"/>
  <c r="S139" i="1"/>
  <c r="P139" i="1"/>
  <c r="M139" i="1"/>
  <c r="J139" i="1"/>
  <c r="S138" i="1"/>
  <c r="P138" i="1"/>
  <c r="M138" i="1"/>
  <c r="J138" i="1"/>
  <c r="S137" i="1"/>
  <c r="P137" i="1"/>
  <c r="M137" i="1"/>
  <c r="J137" i="1"/>
  <c r="S136" i="1"/>
  <c r="P136" i="1"/>
  <c r="M136" i="1"/>
  <c r="J136" i="1"/>
  <c r="S135" i="1"/>
  <c r="P135" i="1"/>
  <c r="M135" i="1"/>
  <c r="J135" i="1"/>
  <c r="S134" i="1"/>
  <c r="P134" i="1"/>
  <c r="M134" i="1"/>
  <c r="J134" i="1"/>
  <c r="S133" i="1"/>
  <c r="P133" i="1"/>
  <c r="M133" i="1"/>
  <c r="J133" i="1"/>
  <c r="S132" i="1"/>
  <c r="P132" i="1"/>
  <c r="M132" i="1"/>
  <c r="J132" i="1"/>
  <c r="S131" i="1"/>
  <c r="P131" i="1"/>
  <c r="M131" i="1"/>
  <c r="J131" i="1"/>
  <c r="S130" i="1"/>
  <c r="P130" i="1"/>
  <c r="M130" i="1"/>
  <c r="J130" i="1"/>
  <c r="S129" i="1"/>
  <c r="P129" i="1"/>
  <c r="M129" i="1"/>
  <c r="J129" i="1"/>
  <c r="S128" i="1"/>
  <c r="P128" i="1"/>
  <c r="M128" i="1"/>
  <c r="J128" i="1"/>
  <c r="S127" i="1"/>
  <c r="P127" i="1"/>
  <c r="M127" i="1"/>
  <c r="J127" i="1"/>
  <c r="S126" i="1"/>
  <c r="P126" i="1"/>
  <c r="M126" i="1"/>
  <c r="J126" i="1"/>
  <c r="S125" i="1"/>
  <c r="P125" i="1"/>
  <c r="M125" i="1"/>
  <c r="J125" i="1"/>
  <c r="S124" i="1"/>
  <c r="P124" i="1"/>
  <c r="M124" i="1"/>
  <c r="J124" i="1"/>
  <c r="S123" i="1"/>
  <c r="P123" i="1"/>
  <c r="M123" i="1"/>
  <c r="J123" i="1"/>
  <c r="S122" i="1"/>
  <c r="P122" i="1"/>
  <c r="M122" i="1"/>
  <c r="J122" i="1"/>
  <c r="S121" i="1"/>
  <c r="P121" i="1"/>
  <c r="M121" i="1"/>
  <c r="J121" i="1"/>
  <c r="S120" i="1"/>
  <c r="P120" i="1"/>
  <c r="M120" i="1"/>
  <c r="J120" i="1"/>
  <c r="S119" i="1"/>
  <c r="P119" i="1"/>
  <c r="M119" i="1"/>
  <c r="J119" i="1"/>
  <c r="S118" i="1"/>
  <c r="P118" i="1"/>
  <c r="M118" i="1"/>
  <c r="J118" i="1"/>
  <c r="S117" i="1"/>
  <c r="P117" i="1"/>
  <c r="M117" i="1"/>
  <c r="J117" i="1"/>
  <c r="S116" i="1"/>
  <c r="P116" i="1"/>
  <c r="M116" i="1"/>
  <c r="J116" i="1"/>
  <c r="S115" i="1"/>
  <c r="P115" i="1"/>
  <c r="M115" i="1"/>
  <c r="J115" i="1"/>
  <c r="S114" i="1"/>
  <c r="P114" i="1"/>
  <c r="M114" i="1"/>
  <c r="J114" i="1"/>
  <c r="S113" i="1"/>
  <c r="P113" i="1"/>
  <c r="M113" i="1"/>
  <c r="J113" i="1"/>
  <c r="S112" i="1"/>
  <c r="P112" i="1"/>
  <c r="M112" i="1"/>
  <c r="J112" i="1"/>
  <c r="S111" i="1"/>
  <c r="P111" i="1"/>
  <c r="M111" i="1"/>
  <c r="J111" i="1"/>
  <c r="S110" i="1"/>
  <c r="P110" i="1"/>
  <c r="M110" i="1"/>
  <c r="J110" i="1"/>
  <c r="S109" i="1"/>
  <c r="P109" i="1"/>
  <c r="M109" i="1"/>
  <c r="J109" i="1"/>
  <c r="S108" i="1"/>
  <c r="P108" i="1"/>
  <c r="M108" i="1"/>
  <c r="J108" i="1"/>
  <c r="S107" i="1"/>
  <c r="P107" i="1"/>
  <c r="M107" i="1"/>
  <c r="J107" i="1"/>
  <c r="S106" i="1"/>
  <c r="P106" i="1"/>
  <c r="M106" i="1"/>
  <c r="J106" i="1"/>
  <c r="S105" i="1"/>
  <c r="P105" i="1"/>
  <c r="M105" i="1"/>
  <c r="J105" i="1"/>
  <c r="S104" i="1"/>
  <c r="P104" i="1"/>
  <c r="M104" i="1"/>
  <c r="J104" i="1"/>
  <c r="S103" i="1"/>
  <c r="P103" i="1"/>
  <c r="M103" i="1"/>
  <c r="J103" i="1"/>
  <c r="S102" i="1"/>
  <c r="P102" i="1"/>
  <c r="M102" i="1"/>
  <c r="J102" i="1"/>
  <c r="S101" i="1"/>
  <c r="P101" i="1"/>
  <c r="M101" i="1"/>
  <c r="J101" i="1"/>
  <c r="S100" i="1"/>
  <c r="P100" i="1"/>
  <c r="M100" i="1"/>
  <c r="J100" i="1"/>
  <c r="S99" i="1"/>
  <c r="P99" i="1"/>
  <c r="M99" i="1"/>
  <c r="J99" i="1"/>
  <c r="S98" i="1"/>
  <c r="P98" i="1"/>
  <c r="M98" i="1"/>
  <c r="J98" i="1"/>
  <c r="S97" i="1"/>
  <c r="P97" i="1"/>
  <c r="M97" i="1"/>
  <c r="J97" i="1"/>
  <c r="S96" i="1"/>
  <c r="P96" i="1"/>
  <c r="M96" i="1"/>
  <c r="J96" i="1"/>
  <c r="S95" i="1"/>
  <c r="P95" i="1"/>
  <c r="M95" i="1"/>
  <c r="J95" i="1"/>
  <c r="S94" i="1"/>
  <c r="P94" i="1"/>
  <c r="M94" i="1"/>
  <c r="J94" i="1"/>
  <c r="S93" i="1"/>
  <c r="P93" i="1"/>
  <c r="M93" i="1"/>
  <c r="J93" i="1"/>
  <c r="S92" i="1"/>
  <c r="P92" i="1"/>
  <c r="M92" i="1"/>
  <c r="J92" i="1"/>
  <c r="S91" i="1"/>
  <c r="P91" i="1"/>
  <c r="M91" i="1"/>
  <c r="J91" i="1"/>
  <c r="S90" i="1"/>
  <c r="P90" i="1"/>
  <c r="M90" i="1"/>
  <c r="J90" i="1"/>
  <c r="S89" i="1"/>
  <c r="P89" i="1"/>
  <c r="M89" i="1"/>
  <c r="J89" i="1"/>
  <c r="S88" i="1"/>
  <c r="P88" i="1"/>
  <c r="M88" i="1"/>
  <c r="J88" i="1"/>
  <c r="S87" i="1"/>
  <c r="P87" i="1"/>
  <c r="M87" i="1"/>
  <c r="J87" i="1"/>
  <c r="S86" i="1"/>
  <c r="P86" i="1"/>
  <c r="M86" i="1"/>
  <c r="J86" i="1"/>
  <c r="S85" i="1"/>
  <c r="P85" i="1"/>
  <c r="M85" i="1"/>
  <c r="J85" i="1"/>
  <c r="S84" i="1"/>
  <c r="P84" i="1"/>
  <c r="M84" i="1"/>
  <c r="J84" i="1"/>
  <c r="S83" i="1"/>
  <c r="P83" i="1"/>
  <c r="M83" i="1"/>
  <c r="J83" i="1"/>
  <c r="S82" i="1"/>
  <c r="P82" i="1"/>
  <c r="M82" i="1"/>
  <c r="J82" i="1"/>
  <c r="S81" i="1"/>
  <c r="P81" i="1"/>
  <c r="M81" i="1"/>
  <c r="J81" i="1"/>
  <c r="S80" i="1"/>
  <c r="P80" i="1"/>
  <c r="M80" i="1"/>
  <c r="J80" i="1"/>
  <c r="S79" i="1"/>
  <c r="P79" i="1"/>
  <c r="M79" i="1"/>
  <c r="J79" i="1"/>
  <c r="S78" i="1"/>
  <c r="P78" i="1"/>
  <c r="M78" i="1"/>
  <c r="J78" i="1"/>
  <c r="S77" i="1"/>
  <c r="P77" i="1"/>
  <c r="M77" i="1"/>
  <c r="J77" i="1"/>
  <c r="S76" i="1"/>
  <c r="P76" i="1"/>
  <c r="M76" i="1"/>
  <c r="J76" i="1"/>
  <c r="S75" i="1"/>
  <c r="P75" i="1"/>
  <c r="M75" i="1"/>
  <c r="J75" i="1"/>
  <c r="S74" i="1"/>
  <c r="P74" i="1"/>
  <c r="M74" i="1"/>
  <c r="J74" i="1"/>
  <c r="S73" i="1"/>
  <c r="P73" i="1"/>
  <c r="M73" i="1"/>
  <c r="J73" i="1"/>
  <c r="S72" i="1"/>
  <c r="P72" i="1"/>
  <c r="M72" i="1"/>
  <c r="J72" i="1"/>
  <c r="S71" i="1"/>
  <c r="P71" i="1"/>
  <c r="M71" i="1"/>
  <c r="J71" i="1"/>
  <c r="S70" i="1"/>
  <c r="P70" i="1"/>
  <c r="M70" i="1"/>
  <c r="J70" i="1"/>
  <c r="S69" i="1"/>
  <c r="P69" i="1"/>
  <c r="M69" i="1"/>
  <c r="J69" i="1"/>
  <c r="S68" i="1"/>
  <c r="P68" i="1"/>
  <c r="M68" i="1"/>
  <c r="J68" i="1"/>
  <c r="S67" i="1"/>
  <c r="P67" i="1"/>
  <c r="M67" i="1"/>
  <c r="J67" i="1"/>
  <c r="S66" i="1"/>
  <c r="P66" i="1"/>
  <c r="M66" i="1"/>
  <c r="J66" i="1"/>
  <c r="S65" i="1"/>
  <c r="P65" i="1"/>
  <c r="M65" i="1"/>
  <c r="J65" i="1"/>
  <c r="S64" i="1"/>
  <c r="P64" i="1"/>
  <c r="M64" i="1"/>
  <c r="J64" i="1"/>
  <c r="S63" i="1"/>
  <c r="P63" i="1"/>
  <c r="M63" i="1"/>
  <c r="J63" i="1"/>
  <c r="S62" i="1"/>
  <c r="P62" i="1"/>
  <c r="M62" i="1"/>
  <c r="J62" i="1"/>
  <c r="S61" i="1"/>
  <c r="P61" i="1"/>
  <c r="M61" i="1"/>
  <c r="J61" i="1"/>
  <c r="S60" i="1"/>
  <c r="P60" i="1"/>
  <c r="M60" i="1"/>
  <c r="J60" i="1"/>
  <c r="S59" i="1"/>
  <c r="P59" i="1"/>
  <c r="M59" i="1"/>
  <c r="J59" i="1"/>
  <c r="S58" i="1"/>
  <c r="P58" i="1"/>
  <c r="M58" i="1"/>
  <c r="J58" i="1"/>
  <c r="S57" i="1"/>
  <c r="P57" i="1"/>
  <c r="M57" i="1"/>
  <c r="J57" i="1"/>
  <c r="S56" i="1"/>
  <c r="P56" i="1"/>
  <c r="M56" i="1"/>
  <c r="J56" i="1"/>
  <c r="S55" i="1"/>
  <c r="P55" i="1"/>
  <c r="M55" i="1"/>
  <c r="J55" i="1"/>
  <c r="S54" i="1"/>
  <c r="P54" i="1"/>
  <c r="M54" i="1"/>
  <c r="J54" i="1"/>
  <c r="S53" i="1"/>
  <c r="P53" i="1"/>
  <c r="M53" i="1"/>
  <c r="J53" i="1"/>
  <c r="S52" i="1"/>
  <c r="P52" i="1"/>
  <c r="M52" i="1"/>
  <c r="J52" i="1"/>
  <c r="S51" i="1"/>
  <c r="P51" i="1"/>
  <c r="M51" i="1"/>
  <c r="J51" i="1"/>
  <c r="S50" i="1"/>
  <c r="P50" i="1"/>
  <c r="M50" i="1"/>
  <c r="J50" i="1"/>
  <c r="S49" i="1"/>
  <c r="P49" i="1"/>
  <c r="M49" i="1"/>
  <c r="J49" i="1"/>
  <c r="S48" i="1"/>
  <c r="P48" i="1"/>
  <c r="M48" i="1"/>
  <c r="J48" i="1"/>
  <c r="S47" i="1"/>
  <c r="P47" i="1"/>
  <c r="M47" i="1"/>
  <c r="J47" i="1"/>
  <c r="S46" i="1"/>
  <c r="P46" i="1"/>
  <c r="M46" i="1"/>
  <c r="J46" i="1"/>
  <c r="S45" i="1"/>
  <c r="P45" i="1"/>
  <c r="M45" i="1"/>
  <c r="J45" i="1"/>
  <c r="S44" i="1"/>
  <c r="P44" i="1"/>
  <c r="M44" i="1"/>
  <c r="J44" i="1"/>
  <c r="S43" i="1"/>
  <c r="P43" i="1"/>
  <c r="M43" i="1"/>
  <c r="J43" i="1"/>
  <c r="S42" i="1"/>
  <c r="P42" i="1"/>
  <c r="M42" i="1"/>
  <c r="J42" i="1"/>
  <c r="S41" i="1"/>
  <c r="P41" i="1"/>
  <c r="M41" i="1"/>
  <c r="J41" i="1"/>
  <c r="S40" i="1"/>
  <c r="P40" i="1"/>
  <c r="M40" i="1"/>
  <c r="J40" i="1"/>
  <c r="S39" i="1"/>
  <c r="P39" i="1"/>
  <c r="M39" i="1"/>
  <c r="J39" i="1"/>
  <c r="S38" i="1"/>
  <c r="P38" i="1"/>
  <c r="M38" i="1"/>
  <c r="J38" i="1"/>
  <c r="S37" i="1"/>
  <c r="P37" i="1"/>
  <c r="M37" i="1"/>
  <c r="J37" i="1"/>
  <c r="S36" i="1"/>
  <c r="P36" i="1"/>
  <c r="M36" i="1"/>
  <c r="J36" i="1"/>
  <c r="S35" i="1"/>
  <c r="P35" i="1"/>
  <c r="M35" i="1"/>
  <c r="J35" i="1"/>
  <c r="S34" i="1"/>
  <c r="P34" i="1"/>
  <c r="M34" i="1"/>
  <c r="J34" i="1"/>
  <c r="S33" i="1"/>
  <c r="P33" i="1"/>
  <c r="M33" i="1"/>
  <c r="J33" i="1"/>
  <c r="S32" i="1"/>
  <c r="P32" i="1"/>
  <c r="M32" i="1"/>
  <c r="J32" i="1"/>
  <c r="S31" i="1"/>
  <c r="P31" i="1"/>
  <c r="M31" i="1"/>
  <c r="J31" i="1"/>
  <c r="S30" i="1"/>
  <c r="P30" i="1"/>
  <c r="M30" i="1"/>
  <c r="J30" i="1"/>
  <c r="S29" i="1"/>
  <c r="P29" i="1"/>
  <c r="M29" i="1"/>
  <c r="J29" i="1"/>
  <c r="S28" i="1"/>
  <c r="P28" i="1"/>
  <c r="M28" i="1"/>
  <c r="J28" i="1"/>
  <c r="S27" i="1"/>
  <c r="P27" i="1"/>
  <c r="M27" i="1"/>
  <c r="J27" i="1"/>
  <c r="S26" i="1"/>
  <c r="P26" i="1"/>
  <c r="M26" i="1"/>
  <c r="J26" i="1"/>
  <c r="S25" i="1"/>
  <c r="P25" i="1"/>
  <c r="M25" i="1"/>
  <c r="J25" i="1"/>
  <c r="S24" i="1"/>
  <c r="P24" i="1"/>
  <c r="M24" i="1"/>
  <c r="J24" i="1"/>
  <c r="S23" i="1"/>
  <c r="P23" i="1"/>
  <c r="M23" i="1"/>
  <c r="J23" i="1"/>
  <c r="S22" i="1"/>
  <c r="P22" i="1"/>
  <c r="M22" i="1"/>
  <c r="J22" i="1"/>
  <c r="S21" i="1"/>
  <c r="P21" i="1"/>
  <c r="M21" i="1"/>
  <c r="J21" i="1"/>
  <c r="S20" i="1"/>
  <c r="P20" i="1"/>
  <c r="M20" i="1"/>
  <c r="J20" i="1"/>
  <c r="S19" i="1"/>
  <c r="P19" i="1"/>
  <c r="M19" i="1"/>
  <c r="J19" i="1"/>
  <c r="S18" i="1"/>
  <c r="P18" i="1"/>
  <c r="M18" i="1"/>
  <c r="J18" i="1"/>
  <c r="S17" i="1"/>
  <c r="P17" i="1"/>
  <c r="M17" i="1"/>
  <c r="J17" i="1"/>
  <c r="S16" i="1"/>
  <c r="P16" i="1"/>
  <c r="M16" i="1"/>
  <c r="J16" i="1"/>
  <c r="S15" i="1"/>
  <c r="P15" i="1"/>
  <c r="M15" i="1"/>
  <c r="J15" i="1"/>
  <c r="S14" i="1"/>
  <c r="P14" i="1"/>
  <c r="M14" i="1"/>
  <c r="J14" i="1"/>
  <c r="S13" i="1"/>
  <c r="P13" i="1"/>
  <c r="M13" i="1"/>
  <c r="J13" i="1"/>
  <c r="S12" i="1"/>
  <c r="P12" i="1"/>
  <c r="M12" i="1"/>
  <c r="J12" i="1"/>
  <c r="S11" i="1"/>
  <c r="P11" i="1"/>
  <c r="M11" i="1"/>
  <c r="J11" i="1"/>
  <c r="S10" i="1"/>
  <c r="P10" i="1"/>
  <c r="M10" i="1"/>
  <c r="J10" i="1"/>
  <c r="S9" i="1"/>
  <c r="P9" i="1"/>
  <c r="M9" i="1"/>
  <c r="J9" i="1"/>
  <c r="S8" i="1"/>
  <c r="P8" i="1"/>
  <c r="M8" i="1"/>
  <c r="J8" i="1"/>
  <c r="S6" i="1"/>
  <c r="P6" i="1"/>
  <c r="M6" i="1"/>
</calcChain>
</file>

<file path=xl/sharedStrings.xml><?xml version="1.0" encoding="utf-8"?>
<sst xmlns="http://schemas.openxmlformats.org/spreadsheetml/2006/main" count="321" uniqueCount="76">
  <si>
    <t>d</t>
  </si>
  <si>
    <t xml:space="preserve">Risk Assessment for : </t>
  </si>
  <si>
    <t>Xxxxx Corp</t>
  </si>
  <si>
    <t xml:space="preserve">Workshop Date : </t>
  </si>
  <si>
    <t xml:space="preserve">Business Objective : </t>
  </si>
  <si>
    <t>This Run Is Created For datradatra</t>
  </si>
  <si>
    <t>Before IP</t>
  </si>
  <si>
    <t>After IP 1</t>
  </si>
  <si>
    <t>After IP 2</t>
  </si>
  <si>
    <t>After IP 3</t>
  </si>
  <si>
    <t>#</t>
  </si>
  <si>
    <t>Risk Name</t>
  </si>
  <si>
    <t>Category</t>
  </si>
  <si>
    <t>Vulnerabilities</t>
  </si>
  <si>
    <t>Threats</t>
  </si>
  <si>
    <t>Impact</t>
  </si>
  <si>
    <t>Risk Mitigation</t>
  </si>
  <si>
    <t>I</t>
  </si>
  <si>
    <t>L</t>
  </si>
  <si>
    <t>GRS</t>
  </si>
  <si>
    <t>Process design or execution</t>
  </si>
  <si>
    <t>Failed Internal Processes</t>
  </si>
  <si>
    <t>Inaction</t>
  </si>
  <si>
    <t>Actions of People</t>
  </si>
  <si>
    <t>Disasters</t>
  </si>
  <si>
    <t>External Events</t>
  </si>
  <si>
    <t>Validations while entering data</t>
  </si>
  <si>
    <t>Please do not delete any columns in any of the sheets.</t>
  </si>
  <si>
    <t>Please list all risks at the page: "RiskRegisterWithScope"</t>
  </si>
  <si>
    <t>Deleting a IP sheet removes the risk from consideration</t>
  </si>
  <si>
    <t>Client name, workshop date, business objective do not get updated. They are only for information purpose</t>
  </si>
  <si>
    <r>
      <rPr>
        <b/>
        <sz val="10"/>
        <rFont val="Arial"/>
        <family val="2"/>
      </rPr>
      <t>Order Id</t>
    </r>
    <r>
      <rPr>
        <sz val="10"/>
        <rFont val="Arial"/>
        <family val="2"/>
      </rPr>
      <t xml:space="preserve"> is unique, user is warned and the enetered value is removed when a duplicate order id is entered</t>
    </r>
  </si>
  <si>
    <r>
      <rPr>
        <b/>
        <sz val="10"/>
        <rFont val="Arial"/>
        <family val="2"/>
      </rPr>
      <t>Risk name</t>
    </r>
    <r>
      <rPr>
        <sz val="10"/>
        <rFont val="Arial"/>
        <family val="2"/>
      </rPr>
      <t xml:space="preserve"> is a unique, duplicate risk name is removed when entered</t>
    </r>
  </si>
  <si>
    <t>Special characters: \ / ? Are not allowed in the Risk Name. Special characters are removed automatically. Please note other special characters may lead to duplicate risks with the current version</t>
  </si>
  <si>
    <t>Changing Order Id or Risk Name, updates the IP sheet name automatically. All data in the IP sheet are retained</t>
  </si>
  <si>
    <t>Removing a a row in the RiskRegisterWithScope sheet, deletes the corresponding IP sheet permanently</t>
  </si>
  <si>
    <t>When both Order Id and Risk name is entered, a new IP sheet is created which name IP (X) yyyyyy . Where X is the Order Id and yyyyyy is the risk name</t>
  </si>
  <si>
    <t>Values entered in "RiskRegisterWithScope" sheet or in individual IP sheets are in sync with each other. They get updated in the other sheets automatically</t>
  </si>
  <si>
    <t>IP values are allowed between 1 to 5 or empty. For any other value, a warning dialog shown and the value is removed</t>
  </si>
  <si>
    <t>IP Plan name is required for the IP plan to be included. Empty IP name with plan details will be ignored</t>
  </si>
  <si>
    <t>IP Plan name should be unique for a given risk.  When unique IP name is provieded, a warning dialog shown and the value is removed</t>
  </si>
  <si>
    <t>Vulnerabilities, Triggers, Consequences and CurrentControls contain only maximum 3000 chatacters. Characters above 3000 will produce an error while saving to database</t>
  </si>
  <si>
    <t>Maximum 15 actions are allowed per improvement IP. Any action plan after 15 will be ignored</t>
  </si>
  <si>
    <t>WARNING: If we upload the downloaded risks with special characters, the system will try to create duplicate risks without special characters. Will will stop the macro to work next time. This issue will be resolved.</t>
  </si>
  <si>
    <t>Risk Matrix - Before Improvements</t>
  </si>
  <si>
    <t>Before</t>
  </si>
  <si>
    <t>After</t>
  </si>
  <si>
    <t>Likelihood</t>
  </si>
  <si>
    <t>Risk Matrix - After Improvements</t>
  </si>
  <si>
    <t>GRS &gt;= 15</t>
  </si>
  <si>
    <t>GRS &gt;= 10</t>
  </si>
  <si>
    <t>GRS &gt;= 7</t>
  </si>
  <si>
    <t>GRS &gt;= 1</t>
  </si>
  <si>
    <t>Total</t>
  </si>
  <si>
    <t>12896</t>
  </si>
  <si>
    <t>plan one</t>
  </si>
  <si>
    <t>200.00</t>
  </si>
  <si>
    <t>plan two</t>
  </si>
  <si>
    <t>plan three</t>
  </si>
  <si>
    <t>Risk Scores</t>
  </si>
  <si>
    <t>Before Improvement</t>
  </si>
  <si>
    <t>After Improvement</t>
  </si>
  <si>
    <t>Improvement Plan Name</t>
  </si>
  <si>
    <t>Delivery Date</t>
  </si>
  <si>
    <t>Estimated Cost</t>
  </si>
  <si>
    <t>Action</t>
  </si>
  <si>
    <t>Measure of Success</t>
  </si>
  <si>
    <t>Allocated to</t>
  </si>
  <si>
    <t>Comments</t>
  </si>
  <si>
    <t>GRS Before Improvements</t>
  </si>
  <si>
    <t>GRS After Improvements</t>
  </si>
  <si>
    <t>GRS Before</t>
  </si>
  <si>
    <t>GRS After</t>
  </si>
  <si>
    <t>% Change</t>
  </si>
  <si>
    <t>All</t>
  </si>
  <si>
    <t>Top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</si>
</sst>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10409]General"/>
    <numFmt numFmtId="165" formatCode="[$-1010409]dd\ mmm\ yyyy"/>
    <numFmt numFmtId="166" formatCode="dd/mm/yyyy;@"/>
  </numFmts>
  <fonts count="45">
    <font>
      <sz val="10"/>
      <name val="Arial"/>
    </font>
    <font>
      <sz val="11"/>
      <color theme="1"/>
      <name val="Calibri"/>
      <family val="2"/>
      <scheme val="minor"/>
    </font>
    <font>
      <sz val="10"/>
      <name val="Arial"/>
      <family val="2"/>
    </font>
    <font>
      <b/>
      <sz val="10"/>
      <color indexed="8"/>
      <name val="Arial"/>
      <family val="2"/>
    </font>
    <font>
      <sz val="10"/>
      <color indexed="8"/>
      <name val="Arial"/>
      <family val="2"/>
    </font>
    <font>
      <i/>
      <sz val="10"/>
      <color indexed="8"/>
      <name val="Arial"/>
      <family val="2"/>
    </font>
    <font>
      <sz val="9"/>
      <color indexed="8"/>
      <name val="Arial"/>
      <family val="2"/>
    </font>
    <font>
      <sz val="10"/>
      <name val="Arial"/>
      <family val="2"/>
    </font>
    <font>
      <b/>
      <sz val="9"/>
      <color indexed="8"/>
      <name val="Arial"/>
      <family val="2"/>
    </font>
    <font>
      <sz val="9"/>
      <name val="Arial"/>
      <family val="2"/>
    </font>
    <font>
      <b/>
      <sz val="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0"/>
      <name val="Arial"/>
      <family val="2"/>
    </font>
    <font>
      <b/>
      <sz val="10"/>
      <color theme="1"/>
      <name val="Arial"/>
      <family val="2"/>
    </font>
    <font>
      <b/>
      <sz val="11"/>
      <color theme="1"/>
      <name val="Arial"/>
      <family val="2"/>
    </font>
    <font>
      <b/>
      <sz val="12"/>
      <name val="Arial"/>
      <family val="2"/>
    </font>
    <font>
      <b/>
      <sz val="10"/>
      <name val="Arial"/>
      <family val="2"/>
    </font>
    <font>
      <b/>
      <sz val="11"/>
      <color indexed="8"/>
      <name val="Arial"/>
      <family val="2"/>
    </font>
    <font>
      <sz val="11"/>
      <color indexed="8"/>
      <name val="Arial"/>
      <family val="2"/>
    </font>
    <font>
      <sz val="11"/>
      <name val="Arial"/>
      <family val="2"/>
    </font>
    <font>
      <sz val="18"/>
      <name val="Arial"/>
      <family val="2"/>
    </font>
    <font>
      <sz val="9"/>
      <color theme="0"/>
      <name val="Arial"/>
      <family val="2"/>
    </font>
    <font>
      <sz val="11"/>
      <color rgb="FF000000"/>
      <name val="Arial"/>
      <family val="2"/>
    </font>
    <font>
      <sz val="10"/>
      <color rgb="FF000000"/>
      <name val="Arial"/>
      <family val="2"/>
    </font>
    <font>
      <sz val="8"/>
      <color rgb="FF000000"/>
      <name val="Segoe UI"/>
      <family val="2"/>
    </font>
    <font>
      <i/>
      <sz val="10"/>
      <color rgb="FF000000"/>
      <name val="Arial"/>
      <family val="2"/>
    </font>
    <font>
      <b/>
      <sz val="10"/>
      <color rgb="FF000000"/>
      <name val="Arial"/>
      <family val="2"/>
    </font>
    <font>
      <sz val="11"/>
      <color rgb="FFFFFFFF"/>
      <name val="Arial"/>
      <family val="2"/>
    </font>
    <font>
      <sz val="9"/>
      <color rgb="FF00B0F0"/>
      <name val="Arial"/>
      <family val="2"/>
    </font>
  </fonts>
  <fills count="46">
    <fill>
      <patternFill patternType="none"/>
    </fill>
    <fill>
      <patternFill patternType="gray125"/>
    </fill>
    <fill>
      <patternFill patternType="solid">
        <fgColor indexed="27"/>
      </patternFill>
    </fill>
    <fill>
      <patternFill patternType="solid">
        <fgColor indexed="22"/>
      </patternFill>
    </fill>
    <fill>
      <patternFill patternType="solid">
        <fgColor indexed="26"/>
      </patternFill>
    </fill>
    <fill>
      <patternFill patternType="solid">
        <fgColor indexed="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A31E22"/>
        <bgColor indexed="64"/>
      </patternFill>
    </fill>
    <fill>
      <patternFill patternType="solid">
        <fgColor rgb="FFFF8500"/>
        <bgColor indexed="64"/>
      </patternFill>
    </fill>
    <fill>
      <patternFill patternType="solid">
        <fgColor rgb="FFFFB81C"/>
        <bgColor indexed="64"/>
      </patternFill>
    </fill>
    <fill>
      <patternFill patternType="solid">
        <fgColor rgb="FF889E0A"/>
        <bgColor indexed="64"/>
      </patternFill>
    </fill>
    <fill>
      <patternFill patternType="solid">
        <fgColor rgb="FF00C389"/>
        <bgColor indexed="64"/>
      </patternFill>
    </fill>
    <fill>
      <patternFill patternType="solid">
        <fgColor rgb="FF00986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8"/>
      </left>
      <right/>
      <top/>
      <bottom/>
      <diagonal/>
    </border>
    <border>
      <left/>
      <right style="thin">
        <color indexed="64"/>
      </right>
      <top style="thin">
        <color indexed="64"/>
      </top>
      <bottom/>
      <diagonal/>
    </border>
    <border>
      <left style="thin">
        <color indexed="8"/>
      </left>
      <right/>
      <top style="thin">
        <color indexed="8"/>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thin">
        <color rgb="FF000000"/>
      </left>
      <right style="thin">
        <color rgb="FF000000"/>
      </right>
      <top style="thin">
        <color rgb="FF000000"/>
      </top>
      <bottom style="thin">
        <color rgb="FF000000"/>
      </bottom>
      <diagonal/>
    </border>
  </borders>
  <cellStyleXfs count="63">
    <xf numFmtId="0" fontId="0" fillId="0" borderId="0">
      <alignment wrapText="1"/>
    </xf>
    <xf numFmtId="0" fontId="11" fillId="6" borderId="0"/>
    <xf numFmtId="0" fontId="1" fillId="6" borderId="0"/>
    <xf numFmtId="0" fontId="11" fillId="7" borderId="0"/>
    <xf numFmtId="0" fontId="1" fillId="7" borderId="0"/>
    <xf numFmtId="0" fontId="11" fillId="8" borderId="0"/>
    <xf numFmtId="0" fontId="1" fillId="8" borderId="0"/>
    <xf numFmtId="0" fontId="11" fillId="9" borderId="0"/>
    <xf numFmtId="0" fontId="1" fillId="9" borderId="0"/>
    <xf numFmtId="0" fontId="11" fillId="10" borderId="0"/>
    <xf numFmtId="0" fontId="1" fillId="10" borderId="0"/>
    <xf numFmtId="0" fontId="11" fillId="11" borderId="0"/>
    <xf numFmtId="0" fontId="1" fillId="11" borderId="0"/>
    <xf numFmtId="0" fontId="11" fillId="12" borderId="0"/>
    <xf numFmtId="0" fontId="1" fillId="12" borderId="0"/>
    <xf numFmtId="0" fontId="11" fillId="13" borderId="0"/>
    <xf numFmtId="0" fontId="1" fillId="13" borderId="0"/>
    <xf numFmtId="0" fontId="11" fillId="14" borderId="0"/>
    <xf numFmtId="0" fontId="1" fillId="14" borderId="0"/>
    <xf numFmtId="0" fontId="11" fillId="15" borderId="0"/>
    <xf numFmtId="0" fontId="1" fillId="15" borderId="0"/>
    <xf numFmtId="0" fontId="11" fillId="16" borderId="0"/>
    <xf numFmtId="0" fontId="1" fillId="16" borderId="0"/>
    <xf numFmtId="0" fontId="11" fillId="17" borderId="0"/>
    <xf numFmtId="0" fontId="1" fillId="17" borderId="0"/>
    <xf numFmtId="0" fontId="12" fillId="18" borderId="0"/>
    <xf numFmtId="0" fontId="12" fillId="19" borderId="0"/>
    <xf numFmtId="0" fontId="12" fillId="20" borderId="0"/>
    <xf numFmtId="0" fontId="12" fillId="21" borderId="0"/>
    <xf numFmtId="0" fontId="12" fillId="22" borderId="0"/>
    <xf numFmtId="0" fontId="12" fillId="23" borderId="0"/>
    <xf numFmtId="0" fontId="12" fillId="24" borderId="0"/>
    <xf numFmtId="0" fontId="12" fillId="25" borderId="0"/>
    <xf numFmtId="0" fontId="12" fillId="26" borderId="0"/>
    <xf numFmtId="0" fontId="12" fillId="27" borderId="0"/>
    <xf numFmtId="0" fontId="12" fillId="28" borderId="0"/>
    <xf numFmtId="0" fontId="12" fillId="29" borderId="0"/>
    <xf numFmtId="0" fontId="13" fillId="30" borderId="0"/>
    <xf numFmtId="0" fontId="14" fillId="31" borderId="16"/>
    <xf numFmtId="0" fontId="15" fillId="32" borderId="17"/>
    <xf numFmtId="0" fontId="16" fillId="0" borderId="0"/>
    <xf numFmtId="0" fontId="17" fillId="33" borderId="0"/>
    <xf numFmtId="0" fontId="18" fillId="0" borderId="18"/>
    <xf numFmtId="0" fontId="19" fillId="0" borderId="19"/>
    <xf numFmtId="0" fontId="20" fillId="0" borderId="20"/>
    <xf numFmtId="0" fontId="20" fillId="0" borderId="0"/>
    <xf numFmtId="0" fontId="21" fillId="34" borderId="16"/>
    <xf numFmtId="0" fontId="22" fillId="0" borderId="21"/>
    <xf numFmtId="0" fontId="23" fillId="35" borderId="0"/>
    <xf numFmtId="0" fontId="7" fillId="0" borderId="0">
      <alignment wrapText="1"/>
    </xf>
    <xf numFmtId="0" fontId="2" fillId="0" borderId="0">
      <alignment wrapText="1"/>
    </xf>
    <xf numFmtId="0" fontId="11" fillId="0" borderId="0"/>
    <xf numFmtId="0" fontId="1" fillId="0" borderId="0"/>
    <xf numFmtId="0" fontId="2" fillId="0" borderId="0">
      <alignment wrapText="1"/>
    </xf>
    <xf numFmtId="0" fontId="11" fillId="36" borderId="22"/>
    <xf numFmtId="0" fontId="1" fillId="36" borderId="22"/>
    <xf numFmtId="0" fontId="24" fillId="31" borderId="23"/>
    <xf numFmtId="9" fontId="2" fillId="0" borderId="0">
      <alignment wrapText="1"/>
    </xf>
    <xf numFmtId="9" fontId="11" fillId="0" borderId="0"/>
    <xf numFmtId="9" fontId="1" fillId="0" borderId="0"/>
    <xf numFmtId="0" fontId="25" fillId="0" borderId="0"/>
    <xf numFmtId="0" fontId="26" fillId="0" borderId="24"/>
    <xf numFmtId="0" fontId="27" fillId="0" borderId="0"/>
  </cellStyleXfs>
  <cellXfs count="161">
    <xf numFmtId="0" fontId="0" fillId="0" borderId="0" xfId="0" applyNumberFormat="1" applyFont="1" applyFill="1" applyBorder="1" applyProtection="1">
      <alignment wrapText="1"/>
    </xf>
    <xf numFmtId="0" fontId="7" fillId="0" borderId="0" xfId="49" applyNumberFormat="1" applyFont="1" applyFill="1" applyBorder="1" applyProtection="1">
      <alignment wrapText="1"/>
    </xf>
    <xf numFmtId="164" fontId="3" fillId="2" borderId="0" xfId="0" applyNumberFormat="1" applyFont="1" applyFill="1" applyBorder="1" applyAlignment="1" applyProtection="1">
      <alignment horizontal="right" vertical="center" readingOrder="1"/>
    </xf>
    <xf numFmtId="164" fontId="3" fillId="2" borderId="2" xfId="0" applyNumberFormat="1" applyFont="1" applyFill="1" applyBorder="1" applyAlignment="1" applyProtection="1">
      <alignment horizontal="right" vertical="center" readingOrder="1"/>
    </xf>
    <xf numFmtId="164" fontId="3" fillId="2" borderId="3" xfId="0" applyNumberFormat="1" applyFont="1" applyFill="1" applyBorder="1" applyAlignment="1" applyProtection="1">
      <alignment horizontal="right" vertical="center" readingOrder="1"/>
    </xf>
    <xf numFmtId="0" fontId="28" fillId="0" borderId="0" xfId="49" applyNumberFormat="1" applyFont="1" applyFill="1" applyBorder="1" applyProtection="1">
      <alignment wrapText="1"/>
    </xf>
    <xf numFmtId="164" fontId="28" fillId="0" borderId="0" xfId="49" applyNumberFormat="1" applyFont="1" applyFill="1" applyBorder="1" applyProtection="1">
      <alignment wrapText="1"/>
    </xf>
    <xf numFmtId="0" fontId="7" fillId="0" borderId="0" xfId="49" applyNumberFormat="1" applyFont="1" applyFill="1" applyBorder="1" applyAlignment="1" applyProtection="1">
      <alignment horizontal="left" wrapText="1"/>
    </xf>
    <xf numFmtId="164" fontId="8" fillId="37" borderId="1" xfId="49" applyNumberFormat="1" applyFont="1" applyFill="1" applyBorder="1" applyAlignment="1" applyProtection="1">
      <alignment vertical="center" wrapText="1" readingOrder="1"/>
    </xf>
    <xf numFmtId="0" fontId="9" fillId="0" borderId="0" xfId="49" applyNumberFormat="1" applyFont="1" applyFill="1" applyBorder="1" applyProtection="1">
      <alignment wrapText="1"/>
    </xf>
    <xf numFmtId="164" fontId="8" fillId="37" borderId="4" xfId="49" applyNumberFormat="1" applyFont="1" applyFill="1" applyBorder="1" applyAlignment="1" applyProtection="1">
      <alignment vertical="center" wrapText="1" readingOrder="1"/>
    </xf>
    <xf numFmtId="164" fontId="8" fillId="37" borderId="5" xfId="49" applyNumberFormat="1" applyFont="1" applyFill="1" applyBorder="1" applyAlignment="1" applyProtection="1">
      <alignment vertical="center" wrapText="1" readingOrder="1"/>
    </xf>
    <xf numFmtId="164" fontId="8" fillId="37" borderId="7" xfId="49" applyNumberFormat="1" applyFont="1" applyFill="1" applyBorder="1" applyAlignment="1" applyProtection="1">
      <alignment horizontal="right" vertical="center" wrapText="1" readingOrder="1"/>
    </xf>
    <xf numFmtId="164" fontId="8" fillId="38" borderId="5" xfId="49" applyNumberFormat="1" applyFont="1" applyFill="1" applyBorder="1" applyAlignment="1" applyProtection="1">
      <alignment vertical="center" wrapText="1" readingOrder="1"/>
    </xf>
    <xf numFmtId="164" fontId="6" fillId="38" borderId="2" xfId="49" applyNumberFormat="1" applyFont="1" applyFill="1" applyBorder="1" applyAlignment="1" applyProtection="1">
      <alignment horizontal="center" vertical="center" wrapText="1" readingOrder="1"/>
    </xf>
    <xf numFmtId="164" fontId="6" fillId="38" borderId="8" xfId="49" applyNumberFormat="1" applyFont="1" applyFill="1" applyBorder="1" applyAlignment="1" applyProtection="1">
      <alignment horizontal="center" vertical="center" wrapText="1" readingOrder="1"/>
    </xf>
    <xf numFmtId="164" fontId="8" fillId="37" borderId="9" xfId="49" applyNumberFormat="1" applyFont="1" applyFill="1" applyBorder="1" applyAlignment="1" applyProtection="1">
      <alignment horizontal="right" vertical="center" wrapText="1" readingOrder="1"/>
    </xf>
    <xf numFmtId="164" fontId="6" fillId="5" borderId="10" xfId="49" applyNumberFormat="1" applyFont="1" applyFill="1" applyBorder="1" applyAlignment="1" applyProtection="1">
      <alignment vertical="top" wrapText="1" readingOrder="1"/>
    </xf>
    <xf numFmtId="0" fontId="9" fillId="38" borderId="11" xfId="49" applyNumberFormat="1" applyFont="1" applyFill="1" applyBorder="1" applyAlignment="1" applyProtection="1">
      <alignment horizontal="center" vertical="top" readingOrder="1"/>
    </xf>
    <xf numFmtId="164" fontId="6" fillId="5" borderId="12" xfId="49" applyNumberFormat="1" applyFont="1" applyFill="1" applyBorder="1" applyAlignment="1" applyProtection="1">
      <alignment vertical="top" wrapText="1" readingOrder="1"/>
    </xf>
    <xf numFmtId="164" fontId="6" fillId="38" borderId="13" xfId="49" applyNumberFormat="1" applyFont="1" applyFill="1" applyBorder="1" applyAlignment="1" applyProtection="1">
      <alignment vertical="center" wrapText="1" readingOrder="1"/>
    </xf>
    <xf numFmtId="0" fontId="0" fillId="38" borderId="0" xfId="0" applyNumberFormat="1" applyFont="1" applyFill="1" applyBorder="1" applyProtection="1">
      <alignment wrapText="1"/>
    </xf>
    <xf numFmtId="164" fontId="4" fillId="3" borderId="1" xfId="51" applyNumberFormat="1" applyFont="1" applyFill="1" applyBorder="1" applyAlignment="1" applyProtection="1">
      <alignment horizontal="center" vertical="center" wrapText="1" readingOrder="1"/>
    </xf>
    <xf numFmtId="2" fontId="4" fillId="3" borderId="1" xfId="51" applyNumberFormat="1" applyFont="1" applyFill="1" applyBorder="1" applyAlignment="1" applyProtection="1">
      <alignment horizontal="center" vertical="center" wrapText="1" readingOrder="1"/>
    </xf>
    <xf numFmtId="0" fontId="4" fillId="3" borderId="1" xfId="51" applyNumberFormat="1" applyFont="1" applyFill="1" applyBorder="1" applyAlignment="1" applyProtection="1">
      <alignment horizontal="center" vertical="center" wrapText="1" readingOrder="1"/>
    </xf>
    <xf numFmtId="0" fontId="11" fillId="38" borderId="0" xfId="51" applyNumberFormat="1" applyFont="1" applyFill="1" applyBorder="1" applyProtection="1"/>
    <xf numFmtId="0" fontId="7" fillId="38" borderId="0" xfId="51" applyNumberFormat="1" applyFont="1" applyFill="1" applyBorder="1" applyProtection="1"/>
    <xf numFmtId="0" fontId="7" fillId="38" borderId="0" xfId="51" applyNumberFormat="1" applyFont="1" applyFill="1" applyBorder="1" applyAlignment="1" applyProtection="1">
      <alignment horizontal="center"/>
    </xf>
    <xf numFmtId="0" fontId="11" fillId="38" borderId="0" xfId="51" applyNumberFormat="1" applyFont="1" applyFill="1" applyBorder="1" applyAlignment="1" applyProtection="1">
      <alignment horizontal="center"/>
    </xf>
    <xf numFmtId="0" fontId="0" fillId="38" borderId="0" xfId="0" applyNumberFormat="1" applyFont="1" applyFill="1" applyBorder="1" applyAlignment="1" applyProtection="1">
      <alignment horizontal="center" wrapText="1"/>
    </xf>
    <xf numFmtId="164" fontId="8" fillId="37" borderId="1" xfId="49" applyNumberFormat="1" applyFont="1" applyFill="1" applyBorder="1" applyAlignment="1" applyProtection="1">
      <alignment horizontal="center" vertical="center" wrapText="1" readingOrder="1"/>
    </xf>
    <xf numFmtId="0" fontId="9" fillId="0" borderId="0" xfId="0" applyNumberFormat="1" applyFont="1" applyFill="1" applyBorder="1" applyAlignment="1" applyProtection="1">
      <alignment vertical="center" wrapText="1"/>
    </xf>
    <xf numFmtId="0" fontId="9" fillId="0" borderId="0" xfId="0" applyNumberFormat="1" applyFont="1" applyFill="1" applyBorder="1" applyAlignment="1" applyProtection="1">
      <alignment vertical="top" wrapText="1"/>
    </xf>
    <xf numFmtId="164" fontId="4" fillId="2" borderId="2" xfId="0" applyNumberFormat="1" applyFont="1" applyFill="1" applyBorder="1" applyAlignment="1" applyProtection="1">
      <alignment horizontal="center" vertical="center" readingOrder="1"/>
    </xf>
    <xf numFmtId="165" fontId="4" fillId="2" borderId="0" xfId="0" applyNumberFormat="1" applyFont="1" applyFill="1" applyBorder="1" applyAlignment="1" applyProtection="1">
      <alignment horizontal="center" vertical="center" readingOrder="1"/>
    </xf>
    <xf numFmtId="0" fontId="9" fillId="0" borderId="0" xfId="0" applyNumberFormat="1" applyFont="1" applyFill="1" applyBorder="1" applyProtection="1">
      <alignment wrapText="1"/>
    </xf>
    <xf numFmtId="164" fontId="4" fillId="2" borderId="0" xfId="0" applyNumberFormat="1" applyFont="1" applyFill="1" applyBorder="1" applyAlignment="1" applyProtection="1">
      <alignment horizontal="center" vertical="center" readingOrder="1"/>
    </xf>
    <xf numFmtId="165" fontId="4" fillId="2" borderId="0" xfId="0" applyNumberFormat="1" applyFont="1" applyFill="1" applyBorder="1" applyAlignment="1" applyProtection="1">
      <alignment horizontal="left" vertical="top" readingOrder="1"/>
    </xf>
    <xf numFmtId="164" fontId="4" fillId="2" borderId="2" xfId="0" applyNumberFormat="1" applyFont="1" applyFill="1" applyBorder="1" applyAlignment="1" applyProtection="1">
      <alignment vertical="top" readingOrder="1"/>
    </xf>
    <xf numFmtId="165" fontId="4" fillId="2" borderId="0" xfId="0" applyNumberFormat="1" applyFont="1" applyFill="1" applyBorder="1" applyAlignment="1" applyProtection="1">
      <alignment vertical="top" readingOrder="1"/>
    </xf>
    <xf numFmtId="164" fontId="3" fillId="2" borderId="5" xfId="0" applyNumberFormat="1" applyFont="1" applyFill="1" applyBorder="1" applyAlignment="1" applyProtection="1">
      <alignment horizontal="center" vertical="center" readingOrder="1"/>
    </xf>
    <xf numFmtId="164" fontId="3" fillId="2" borderId="10" xfId="0" applyNumberFormat="1" applyFont="1" applyFill="1" applyBorder="1" applyAlignment="1" applyProtection="1">
      <alignment horizontal="center" vertical="center" readingOrder="1"/>
    </xf>
    <xf numFmtId="164" fontId="3" fillId="2" borderId="12" xfId="0" applyNumberFormat="1" applyFont="1" applyFill="1" applyBorder="1" applyAlignment="1" applyProtection="1">
      <alignment horizontal="center" vertical="center" readingOrder="1"/>
    </xf>
    <xf numFmtId="0" fontId="9" fillId="0" borderId="1" xfId="0" applyNumberFormat="1" applyFont="1" applyFill="1" applyBorder="1" applyAlignment="1" applyProtection="1">
      <alignment horizontal="right" vertical="center" wrapText="1"/>
    </xf>
    <xf numFmtId="0" fontId="10" fillId="39" borderId="1" xfId="0" applyNumberFormat="1" applyFont="1" applyFill="1" applyBorder="1" applyAlignment="1" applyProtection="1">
      <alignment horizontal="center" vertical="center" wrapText="1"/>
    </xf>
    <xf numFmtId="164" fontId="9" fillId="0" borderId="1" xfId="0" applyNumberFormat="1" applyFont="1" applyFill="1" applyBorder="1" applyAlignment="1" applyProtection="1">
      <alignment horizontal="center" vertical="center" wrapText="1"/>
    </xf>
    <xf numFmtId="9" fontId="9" fillId="0" borderId="1" xfId="57" applyNumberFormat="1" applyFont="1" applyFill="1" applyBorder="1" applyAlignment="1" applyProtection="1">
      <alignment horizontal="center" vertical="center" wrapText="1"/>
    </xf>
    <xf numFmtId="164" fontId="3" fillId="39" borderId="4" xfId="0" applyNumberFormat="1" applyFont="1" applyFill="1" applyBorder="1" applyAlignment="1" applyProtection="1">
      <alignment horizontal="center" vertical="center" wrapText="1" readingOrder="1"/>
    </xf>
    <xf numFmtId="164" fontId="3" fillId="39" borderId="14" xfId="0" applyNumberFormat="1" applyFont="1" applyFill="1" applyBorder="1" applyAlignment="1" applyProtection="1">
      <alignment horizontal="center" vertical="center" wrapText="1" readingOrder="1"/>
    </xf>
    <xf numFmtId="164" fontId="3" fillId="39" borderId="1" xfId="0" applyNumberFormat="1" applyFont="1" applyFill="1" applyBorder="1" applyAlignment="1" applyProtection="1">
      <alignment horizontal="center" vertical="center" wrapText="1" readingOrder="1"/>
    </xf>
    <xf numFmtId="0" fontId="0" fillId="0" borderId="0" xfId="0" applyNumberFormat="1" applyFont="1" applyFill="1" applyBorder="1" applyAlignment="1" applyProtection="1">
      <alignment horizontal="center" vertical="center" wrapText="1"/>
    </xf>
    <xf numFmtId="0" fontId="0" fillId="38" borderId="0" xfId="0" applyNumberFormat="1" applyFont="1" applyFill="1" applyBorder="1" applyAlignment="1" applyProtection="1">
      <alignment horizontal="center" vertical="center" wrapText="1"/>
    </xf>
    <xf numFmtId="0" fontId="0" fillId="38" borderId="0" xfId="0" applyNumberFormat="1" applyFont="1" applyFill="1" applyBorder="1" applyAlignment="1" applyProtection="1">
      <alignment horizontal="left" vertical="center" wrapText="1"/>
    </xf>
    <xf numFmtId="0" fontId="0" fillId="0" borderId="0" xfId="0" applyNumberFormat="1" applyFont="1" applyFill="1" applyBorder="1" applyAlignment="1" applyProtection="1">
      <alignment horizontal="left" vertical="center" wrapText="1"/>
    </xf>
    <xf numFmtId="0" fontId="9" fillId="0" borderId="0" xfId="0" applyNumberFormat="1" applyFont="1" applyFill="1" applyBorder="1" applyAlignment="1" applyProtection="1">
      <alignment horizontal="center" vertical="center" wrapText="1"/>
    </xf>
    <xf numFmtId="0" fontId="9" fillId="0" borderId="0" xfId="0" applyNumberFormat="1" applyFont="1" applyFill="1" applyBorder="1" applyAlignment="1" applyProtection="1">
      <alignment horizontal="left" vertical="center" wrapText="1"/>
    </xf>
    <xf numFmtId="0" fontId="0" fillId="0" borderId="26" xfId="0" applyNumberFormat="1" applyFont="1" applyFill="1" applyBorder="1" applyAlignment="1" applyProtection="1">
      <alignment horizontal="center" vertical="center" wrapText="1"/>
    </xf>
    <xf numFmtId="0" fontId="0" fillId="0" borderId="26" xfId="0" applyNumberFormat="1" applyFont="1" applyFill="1" applyBorder="1" applyAlignment="1" applyProtection="1">
      <alignment horizontal="left" vertical="center" wrapText="1"/>
    </xf>
    <xf numFmtId="164" fontId="33" fillId="3" borderId="26" xfId="49" applyNumberFormat="1" applyFont="1" applyFill="1" applyBorder="1" applyAlignment="1" applyProtection="1">
      <alignment vertical="center" wrapText="1" readingOrder="1"/>
    </xf>
    <xf numFmtId="164" fontId="33" fillId="3" borderId="12" xfId="49" applyNumberFormat="1" applyFont="1" applyFill="1" applyBorder="1" applyAlignment="1" applyProtection="1">
      <alignment vertical="center" wrapText="1" readingOrder="1"/>
    </xf>
    <xf numFmtId="164" fontId="33" fillId="4" borderId="4" xfId="49" applyNumberFormat="1" applyFont="1" applyFill="1" applyBorder="1" applyAlignment="1" applyProtection="1">
      <alignment vertical="center" wrapText="1" readingOrder="1"/>
    </xf>
    <xf numFmtId="164" fontId="33" fillId="3" borderId="26" xfId="49" applyNumberFormat="1" applyFont="1" applyFill="1" applyBorder="1" applyAlignment="1" applyProtection="1">
      <alignment horizontal="left" vertical="center" wrapText="1" readingOrder="1"/>
    </xf>
    <xf numFmtId="0" fontId="35" fillId="0" borderId="26" xfId="49" applyNumberFormat="1" applyFont="1" applyFill="1" applyBorder="1" applyAlignment="1" applyProtection="1">
      <alignment vertical="center" wrapText="1"/>
    </xf>
    <xf numFmtId="0" fontId="35" fillId="0" borderId="0" xfId="49" applyNumberFormat="1" applyFont="1" applyFill="1" applyBorder="1" applyAlignment="1" applyProtection="1">
      <alignment vertical="center" wrapText="1"/>
    </xf>
    <xf numFmtId="164" fontId="33" fillId="37" borderId="26" xfId="49" applyNumberFormat="1" applyFont="1" applyFill="1" applyBorder="1" applyAlignment="1" applyProtection="1">
      <alignment horizontal="center" vertical="center" wrapText="1" readingOrder="1"/>
    </xf>
    <xf numFmtId="164" fontId="33" fillId="38" borderId="5" xfId="49" applyNumberFormat="1" applyFont="1" applyFill="1" applyBorder="1" applyAlignment="1" applyProtection="1">
      <alignment vertical="center" wrapText="1" readingOrder="1"/>
    </xf>
    <xf numFmtId="164" fontId="34" fillId="38" borderId="2" xfId="49" applyNumberFormat="1" applyFont="1" applyFill="1" applyBorder="1" applyAlignment="1" applyProtection="1">
      <alignment horizontal="center" vertical="center" wrapText="1" readingOrder="1"/>
    </xf>
    <xf numFmtId="164" fontId="34" fillId="38" borderId="8" xfId="49" applyNumberFormat="1" applyFont="1" applyFill="1" applyBorder="1" applyAlignment="1" applyProtection="1">
      <alignment horizontal="center" vertical="center" wrapText="1" readingOrder="1"/>
    </xf>
    <xf numFmtId="164" fontId="34" fillId="5" borderId="10" xfId="49" applyNumberFormat="1" applyFont="1" applyFill="1" applyBorder="1" applyAlignment="1" applyProtection="1">
      <alignment vertical="center" wrapText="1" readingOrder="1"/>
    </xf>
    <xf numFmtId="164" fontId="34" fillId="5" borderId="12" xfId="49" applyNumberFormat="1" applyFont="1" applyFill="1" applyBorder="1" applyAlignment="1" applyProtection="1">
      <alignment vertical="center" wrapText="1" readingOrder="1"/>
    </xf>
    <xf numFmtId="0" fontId="2" fillId="0" borderId="0" xfId="0" applyNumberFormat="1" applyFont="1" applyFill="1" applyBorder="1" applyProtection="1">
      <alignment wrapText="1"/>
    </xf>
    <xf numFmtId="164" fontId="3" fillId="39" borderId="26" xfId="0" applyNumberFormat="1" applyFont="1" applyFill="1" applyBorder="1" applyAlignment="1" applyProtection="1">
      <alignment horizontal="center" vertical="center" wrapText="1" readingOrder="1"/>
    </xf>
    <xf numFmtId="164" fontId="3" fillId="39" borderId="26" xfId="0" applyNumberFormat="1" applyFont="1" applyFill="1" applyBorder="1" applyAlignment="1" applyProtection="1">
      <alignment horizontal="center" vertical="top" wrapText="1" readingOrder="1"/>
    </xf>
    <xf numFmtId="0" fontId="2" fillId="0" borderId="0" xfId="0" applyNumberFormat="1" applyFont="1" applyFill="1" applyBorder="1" applyAlignment="1" applyProtection="1">
      <alignment horizontal="center" wrapText="1"/>
    </xf>
    <xf numFmtId="0" fontId="9" fillId="0" borderId="26" xfId="0" applyNumberFormat="1" applyFont="1" applyFill="1" applyBorder="1" applyAlignment="1" applyProtection="1">
      <alignment horizontal="center" vertical="center" wrapText="1"/>
    </xf>
    <xf numFmtId="0" fontId="9" fillId="0" borderId="26" xfId="0" applyNumberFormat="1" applyFont="1" applyFill="1" applyBorder="1" applyAlignment="1" applyProtection="1">
      <alignment horizontal="center" vertical="center" wrapText="1" readingOrder="1"/>
    </xf>
    <xf numFmtId="0" fontId="9" fillId="0" borderId="26" xfId="0" applyNumberFormat="1" applyFont="1" applyFill="1" applyBorder="1" applyAlignment="1" applyProtection="1">
      <alignment vertical="top" wrapText="1"/>
    </xf>
    <xf numFmtId="164" fontId="4" fillId="2" borderId="5" xfId="0" applyNumberFormat="1" applyFont="1" applyFill="1" applyBorder="1" applyAlignment="1" applyProtection="1">
      <alignment horizontal="center" vertical="center" readingOrder="1"/>
    </xf>
    <xf numFmtId="164" fontId="4" fillId="2" borderId="8" xfId="0" applyNumberFormat="1" applyFont="1" applyFill="1" applyBorder="1" applyAlignment="1" applyProtection="1">
      <alignment horizontal="center" vertical="center" readingOrder="1"/>
    </xf>
    <xf numFmtId="165" fontId="4" fillId="2" borderId="12" xfId="0" applyNumberFormat="1" applyFont="1" applyFill="1" applyBorder="1" applyAlignment="1" applyProtection="1">
      <alignment horizontal="center" vertical="center" readingOrder="1"/>
    </xf>
    <xf numFmtId="165" fontId="4" fillId="2" borderId="3" xfId="0" applyNumberFormat="1" applyFont="1" applyFill="1" applyBorder="1" applyAlignment="1" applyProtection="1">
      <alignment horizontal="center" vertical="center" readingOrder="1"/>
    </xf>
    <xf numFmtId="165" fontId="4" fillId="2" borderId="13" xfId="0" applyNumberFormat="1" applyFont="1" applyFill="1" applyBorder="1" applyAlignment="1" applyProtection="1">
      <alignment horizontal="center" vertical="center" readingOrder="1"/>
    </xf>
    <xf numFmtId="49" fontId="6" fillId="5" borderId="4" xfId="49" applyNumberFormat="1" applyFont="1" applyFill="1" applyBorder="1" applyAlignment="1" applyProtection="1">
      <alignment vertical="top" wrapText="1" readingOrder="1"/>
    </xf>
    <xf numFmtId="49" fontId="6" fillId="5" borderId="5" xfId="49" applyNumberFormat="1" applyFont="1" applyFill="1" applyBorder="1" applyAlignment="1" applyProtection="1">
      <alignment vertical="top" wrapText="1" readingOrder="1"/>
    </xf>
    <xf numFmtId="49" fontId="34" fillId="5" borderId="4" xfId="49" applyNumberFormat="1" applyFont="1" applyFill="1" applyBorder="1" applyAlignment="1" applyProtection="1">
      <alignment vertical="center" wrapText="1" readingOrder="1"/>
    </xf>
    <xf numFmtId="14" fontId="2" fillId="0" borderId="0" xfId="0" applyNumberFormat="1" applyFont="1" applyFill="1" applyBorder="1" applyProtection="1">
      <alignment wrapText="1"/>
    </xf>
    <xf numFmtId="14" fontId="0" fillId="0" borderId="0" xfId="0" applyNumberFormat="1" applyFont="1" applyFill="1" applyBorder="1" applyProtection="1">
      <alignment wrapText="1"/>
    </xf>
    <xf numFmtId="166" fontId="35" fillId="0" borderId="26" xfId="49" applyNumberFormat="1" applyFont="1" applyFill="1" applyBorder="1" applyAlignment="1" applyProtection="1">
      <alignment horizontal="center" vertical="center" wrapText="1"/>
    </xf>
    <xf numFmtId="164" fontId="35" fillId="0" borderId="0" xfId="49" applyNumberFormat="1" applyFont="1" applyFill="1" applyBorder="1" applyAlignment="1" applyProtection="1">
      <alignment vertical="center" wrapText="1"/>
    </xf>
    <xf numFmtId="164" fontId="7" fillId="0" borderId="0" xfId="49" applyNumberFormat="1" applyFont="1" applyFill="1" applyBorder="1" applyProtection="1">
      <alignment wrapText="1"/>
    </xf>
    <xf numFmtId="0" fontId="36" fillId="0" borderId="0" xfId="0" applyNumberFormat="1" applyFont="1" applyFill="1" applyBorder="1" applyProtection="1">
      <alignment wrapText="1"/>
    </xf>
    <xf numFmtId="1" fontId="0" fillId="0" borderId="26" xfId="0" applyNumberFormat="1" applyFont="1" applyFill="1" applyBorder="1" applyAlignment="1" applyProtection="1">
      <alignment horizontal="center" vertical="center" wrapText="1"/>
    </xf>
    <xf numFmtId="1" fontId="0" fillId="0" borderId="0" xfId="0" applyNumberFormat="1" applyFont="1" applyFill="1" applyBorder="1" applyAlignment="1" applyProtection="1">
      <alignment horizontal="center" vertical="center" wrapText="1"/>
    </xf>
    <xf numFmtId="1" fontId="0" fillId="0" borderId="0" xfId="0" applyNumberFormat="1" applyFont="1" applyFill="1" applyBorder="1" applyProtection="1">
      <alignment wrapText="1"/>
    </xf>
    <xf numFmtId="164" fontId="6" fillId="38" borderId="27" xfId="0" applyNumberFormat="1" applyFont="1" applyFill="1" applyBorder="1" applyAlignment="1" applyProtection="1">
      <alignment horizontal="center" vertical="center" wrapText="1" readingOrder="1"/>
    </xf>
    <xf numFmtId="0" fontId="0" fillId="38" borderId="27" xfId="0" applyNumberFormat="1" applyFont="1" applyFill="1" applyBorder="1" applyProtection="1">
      <alignment wrapText="1"/>
    </xf>
    <xf numFmtId="0" fontId="0" fillId="38" borderId="27" xfId="0" applyNumberFormat="1" applyFont="1" applyFill="1" applyBorder="1" applyAlignment="1" applyProtection="1">
      <alignment horizontal="center" wrapText="1"/>
    </xf>
    <xf numFmtId="0" fontId="2" fillId="38" borderId="27" xfId="51" applyNumberFormat="1" applyFont="1" applyFill="1" applyBorder="1" applyProtection="1"/>
    <xf numFmtId="0" fontId="2" fillId="38" borderId="27" xfId="51" applyNumberFormat="1" applyFont="1" applyFill="1" applyBorder="1" applyAlignment="1" applyProtection="1">
      <alignment horizontal="center"/>
    </xf>
    <xf numFmtId="0" fontId="2" fillId="38" borderId="27" xfId="0" applyNumberFormat="1" applyFont="1" applyFill="1" applyBorder="1" applyProtection="1">
      <alignment wrapText="1"/>
    </xf>
    <xf numFmtId="0" fontId="2" fillId="38" borderId="27" xfId="0" applyNumberFormat="1" applyFont="1" applyFill="1" applyBorder="1" applyAlignment="1" applyProtection="1">
      <alignment horizontal="center" wrapText="1"/>
    </xf>
    <xf numFmtId="0" fontId="32" fillId="38" borderId="28" xfId="51" applyNumberFormat="1" applyFont="1" applyFill="1" applyBorder="1" applyProtection="1"/>
    <xf numFmtId="0" fontId="32" fillId="38" borderId="28" xfId="51" applyNumberFormat="1" applyFont="1" applyFill="1" applyBorder="1" applyAlignment="1" applyProtection="1">
      <alignment horizontal="center"/>
    </xf>
    <xf numFmtId="0" fontId="2" fillId="38" borderId="28" xfId="51" applyNumberFormat="1" applyFont="1" applyFill="1" applyBorder="1" applyAlignment="1" applyProtection="1">
      <alignment horizontal="center"/>
    </xf>
    <xf numFmtId="164" fontId="8" fillId="37" borderId="28" xfId="49" applyNumberFormat="1" applyFont="1" applyFill="1" applyBorder="1" applyAlignment="1" applyProtection="1">
      <alignment horizontal="center" vertical="center" wrapText="1" readingOrder="1"/>
    </xf>
    <xf numFmtId="164" fontId="8" fillId="37" borderId="28" xfId="49" applyNumberFormat="1" applyFont="1" applyFill="1" applyBorder="1" applyAlignment="1" applyProtection="1">
      <alignment horizontal="center" vertical="center" readingOrder="1"/>
    </xf>
    <xf numFmtId="0" fontId="28" fillId="0" borderId="0" xfId="0" applyNumberFormat="1" applyFont="1" applyFill="1" applyBorder="1" applyProtection="1">
      <alignment wrapText="1"/>
    </xf>
    <xf numFmtId="0" fontId="28" fillId="0" borderId="0" xfId="0" applyNumberFormat="1" applyFont="1" applyFill="1" applyBorder="1" applyAlignment="1" applyProtection="1">
      <alignment horizontal="center" wrapText="1"/>
    </xf>
    <xf numFmtId="0" fontId="37" fillId="0" borderId="0" xfId="0" applyNumberFormat="1" applyFont="1" applyFill="1" applyBorder="1" applyProtection="1">
      <alignment wrapText="1"/>
    </xf>
    <xf numFmtId="0" fontId="2" fillId="0" borderId="0" xfId="49" applyNumberFormat="1" applyFont="1" applyFill="1" applyBorder="1" applyAlignment="1" applyProtection="1">
      <alignment horizontal="left" wrapText="1"/>
    </xf>
    <xf numFmtId="0" fontId="2" fillId="0" borderId="0" xfId="49" applyNumberFormat="1" applyFont="1" applyFill="1" applyBorder="1" applyProtection="1">
      <alignment wrapText="1"/>
    </xf>
    <xf numFmtId="164" fontId="4" fillId="40" borderId="1" xfId="51" applyNumberFormat="1" applyFont="1" applyFill="1" applyBorder="1" applyAlignment="1" applyProtection="1">
      <alignment horizontal="center" vertical="center" wrapText="1" readingOrder="1"/>
    </xf>
    <xf numFmtId="164" fontId="4" fillId="41" borderId="1" xfId="51" applyNumberFormat="1" applyFont="1" applyFill="1" applyBorder="1" applyAlignment="1" applyProtection="1">
      <alignment horizontal="center" vertical="center" wrapText="1" readingOrder="1"/>
    </xf>
    <xf numFmtId="164" fontId="4" fillId="42" borderId="1" xfId="51" applyNumberFormat="1" applyFont="1" applyFill="1" applyBorder="1" applyAlignment="1" applyProtection="1">
      <alignment horizontal="center" vertical="center" wrapText="1" readingOrder="1"/>
    </xf>
    <xf numFmtId="0" fontId="4" fillId="43" borderId="1" xfId="51" applyNumberFormat="1" applyFont="1" applyFill="1" applyBorder="1" applyAlignment="1" applyProtection="1">
      <alignment horizontal="center" vertical="center" wrapText="1" readingOrder="1"/>
    </xf>
    <xf numFmtId="164" fontId="4" fillId="44" borderId="1" xfId="51" applyNumberFormat="1" applyFont="1" applyFill="1" applyBorder="1" applyAlignment="1" applyProtection="1">
      <alignment horizontal="center" vertical="center" wrapText="1" readingOrder="1"/>
    </xf>
    <xf numFmtId="164" fontId="4" fillId="45" borderId="1" xfId="51" applyNumberFormat="1" applyFont="1" applyFill="1" applyBorder="1" applyAlignment="1" applyProtection="1">
      <alignment horizontal="center" vertical="center" wrapText="1" readingOrder="1"/>
    </xf>
    <xf numFmtId="164" fontId="6" fillId="0" borderId="4" xfId="49" applyNumberFormat="1" applyFont="1" applyFill="1" applyBorder="1" applyAlignment="1" applyProtection="1">
      <alignment horizontal="center" vertical="center" wrapText="1" readingOrder="1"/>
    </xf>
    <xf numFmtId="164" fontId="34" fillId="0" borderId="6" xfId="49" applyNumberFormat="1" applyFont="1" applyFill="1" applyBorder="1" applyAlignment="1" applyProtection="1">
      <alignment horizontal="center" vertical="center" wrapText="1" readingOrder="1"/>
    </xf>
    <xf numFmtId="164" fontId="34" fillId="0" borderId="4" xfId="49" applyNumberFormat="1" applyFont="1" applyFill="1" applyBorder="1" applyAlignment="1" applyProtection="1">
      <alignment horizontal="center" vertical="center" wrapText="1" readingOrder="1"/>
    </xf>
    <xf numFmtId="164" fontId="38" fillId="0" borderId="26" xfId="49" applyNumberFormat="1" applyFont="1" applyFill="1" applyBorder="1" applyAlignment="1" applyProtection="1">
      <alignment horizontal="center" vertical="center" wrapText="1" readingOrder="1"/>
    </xf>
    <xf numFmtId="164" fontId="38" fillId="0" borderId="6" xfId="49" applyNumberFormat="1" applyFont="1" applyFill="1" applyBorder="1" applyAlignment="1" applyProtection="1">
      <alignment horizontal="center" vertical="center" wrapText="1" readingOrder="1"/>
    </xf>
    <xf numFmtId="0" fontId="39" fillId="0" borderId="0" xfId="0" applyNumberFormat="1" applyFont="1" applyFill="1" applyBorder="1" applyProtection="1">
      <alignment wrapText="1"/>
    </xf>
    <xf numFmtId="165" fontId="39" fillId="2" borderId="0" xfId="0" applyNumberFormat="1" applyFont="1" applyFill="1" applyBorder="1" applyAlignment="1" applyProtection="1">
      <alignment vertical="top" readingOrder="1"/>
    </xf>
    <xf numFmtId="165" fontId="39" fillId="2" borderId="13" xfId="0" applyNumberFormat="1" applyFont="1" applyFill="1" applyBorder="1" applyAlignment="1" applyProtection="1">
      <alignment horizontal="center" vertical="center" readingOrder="1"/>
    </xf>
    <xf numFmtId="164" fontId="38" fillId="41" borderId="6" xfId="49" applyNumberFormat="1" applyFont="1" applyFill="1" applyBorder="1" applyAlignment="1" applyProtection="1">
      <alignment horizontal="center" vertical="center" wrapText="1" readingOrder="1"/>
    </xf>
    <xf numFmtId="164" fontId="38" fillId="42" borderId="6" xfId="49" applyNumberFormat="1" applyFont="1" applyFill="1" applyBorder="1" applyAlignment="1" applyProtection="1">
      <alignment horizontal="center" vertical="center" wrapText="1" readingOrder="1"/>
    </xf>
    <xf numFmtId="164" fontId="43" fillId="40" borderId="6" xfId="49" applyNumberFormat="1" applyFont="1" applyFill="1" applyBorder="1" applyAlignment="1" applyProtection="1">
      <alignment horizontal="center" vertical="center" wrapText="1" readingOrder="1"/>
    </xf>
    <xf numFmtId="164" fontId="38" fillId="45" borderId="6" xfId="49" applyNumberFormat="1" applyFont="1" applyFill="1" applyBorder="1" applyAlignment="1" applyProtection="1">
      <alignment horizontal="center" vertical="center" wrapText="1" readingOrder="1"/>
    </xf>
    <xf numFmtId="164" fontId="38" fillId="43" borderId="6" xfId="49" applyNumberFormat="1" applyFont="1" applyFill="1" applyBorder="1" applyAlignment="1" applyProtection="1">
      <alignment horizontal="center" vertical="center" wrapText="1" readingOrder="1"/>
    </xf>
    <xf numFmtId="164" fontId="44" fillId="0" borderId="4" xfId="49" applyNumberFormat="1" applyFont="1" applyFill="1" applyBorder="1" applyAlignment="1" applyProtection="1">
      <alignment horizontal="center" vertical="center" wrapText="1" readingOrder="1"/>
    </xf>
    <xf numFmtId="164" fontId="3" fillId="39" borderId="26" xfId="0" applyNumberFormat="1" applyFont="1" applyFill="1" applyBorder="1" applyAlignment="1" applyProtection="1">
      <alignment horizontal="center" vertical="center" wrapText="1" readingOrder="1"/>
    </xf>
    <xf numFmtId="164" fontId="42" fillId="39" borderId="26" xfId="0" applyNumberFormat="1" applyFont="1" applyFill="1" applyBorder="1" applyAlignment="1" applyProtection="1">
      <alignment horizontal="center" vertical="center" wrapText="1" readingOrder="1"/>
    </xf>
    <xf numFmtId="164" fontId="5" fillId="2" borderId="3" xfId="0" applyNumberFormat="1" applyFont="1" applyFill="1" applyBorder="1" applyAlignment="1" applyProtection="1">
      <alignment vertical="top" wrapText="1" readingOrder="1"/>
    </xf>
    <xf numFmtId="164" fontId="41" fillId="2" borderId="3" xfId="0" applyNumberFormat="1" applyFont="1" applyFill="1" applyBorder="1" applyAlignment="1" applyProtection="1">
      <alignment vertical="top" wrapText="1" readingOrder="1"/>
    </xf>
    <xf numFmtId="164" fontId="5" fillId="2" borderId="13" xfId="0" applyNumberFormat="1" applyFont="1" applyFill="1" applyBorder="1" applyAlignment="1" applyProtection="1">
      <alignment vertical="top" wrapText="1" readingOrder="1"/>
    </xf>
    <xf numFmtId="0" fontId="30" fillId="38" borderId="0" xfId="51" applyNumberFormat="1" applyFont="1" applyFill="1" applyBorder="1" applyAlignment="1" applyProtection="1">
      <alignment horizontal="center"/>
    </xf>
    <xf numFmtId="0" fontId="29" fillId="38" borderId="11" xfId="51" applyNumberFormat="1" applyFont="1" applyFill="1" applyBorder="1" applyAlignment="1" applyProtection="1">
      <alignment horizontal="center" vertical="center" textRotation="90"/>
    </xf>
    <xf numFmtId="0" fontId="29" fillId="38" borderId="2" xfId="51" applyNumberFormat="1" applyFont="1" applyFill="1" applyBorder="1" applyAlignment="1" applyProtection="1">
      <alignment horizontal="center" vertical="top"/>
    </xf>
    <xf numFmtId="0" fontId="31" fillId="39" borderId="4" xfId="0" applyNumberFormat="1" applyFont="1" applyFill="1" applyBorder="1" applyAlignment="1" applyProtection="1">
      <alignment horizontal="center" vertical="center" wrapText="1"/>
    </xf>
    <xf numFmtId="0" fontId="31" fillId="39" borderId="25" xfId="0" applyNumberFormat="1" applyFont="1" applyFill="1" applyBorder="1" applyAlignment="1" applyProtection="1">
      <alignment horizontal="center" vertical="center" wrapText="1"/>
    </xf>
    <xf numFmtId="0" fontId="31" fillId="39" borderId="14" xfId="0" applyNumberFormat="1" applyFont="1" applyFill="1" applyBorder="1" applyAlignment="1" applyProtection="1">
      <alignment horizontal="center" vertical="center" wrapText="1"/>
    </xf>
    <xf numFmtId="0" fontId="29" fillId="38" borderId="11" xfId="51" applyNumberFormat="1" applyFont="1" applyFill="1" applyBorder="1" applyAlignment="1" applyProtection="1">
      <alignment horizontal="right" vertical="center" textRotation="90"/>
    </xf>
    <xf numFmtId="0" fontId="35" fillId="0" borderId="4" xfId="49" applyNumberFormat="1" applyFont="1" applyFill="1" applyBorder="1" applyAlignment="1" applyProtection="1">
      <alignment vertical="center" wrapText="1"/>
    </xf>
    <xf numFmtId="0" fontId="35" fillId="0" borderId="14" xfId="49" applyNumberFormat="1" applyFont="1" applyFill="1" applyBorder="1" applyAlignment="1" applyProtection="1">
      <alignment vertical="center" wrapText="1"/>
    </xf>
    <xf numFmtId="14" fontId="34" fillId="5" borderId="4" xfId="49" applyNumberFormat="1" applyFont="1" applyFill="1" applyBorder="1" applyAlignment="1" applyProtection="1">
      <alignment vertical="center" wrapText="1" readingOrder="1"/>
    </xf>
    <xf numFmtId="14" fontId="0" fillId="0" borderId="14" xfId="0" applyNumberFormat="1" applyFont="1" applyFill="1" applyBorder="1" applyAlignment="1" applyProtection="1">
      <alignment vertical="center" wrapText="1" readingOrder="1"/>
    </xf>
    <xf numFmtId="164" fontId="34" fillId="5" borderId="4" xfId="49" applyNumberFormat="1" applyFont="1" applyFill="1" applyBorder="1" applyAlignment="1" applyProtection="1">
      <alignment vertical="center" wrapText="1" readingOrder="1"/>
    </xf>
    <xf numFmtId="0" fontId="0" fillId="0" borderId="14" xfId="0" applyNumberFormat="1" applyFont="1" applyFill="1" applyBorder="1" applyAlignment="1" applyProtection="1">
      <alignment vertical="center" wrapText="1" readingOrder="1"/>
    </xf>
    <xf numFmtId="164" fontId="8" fillId="4" borderId="7" xfId="49" applyNumberFormat="1" applyFont="1" applyFill="1" applyBorder="1" applyAlignment="1" applyProtection="1">
      <alignment vertical="center" wrapText="1" readingOrder="1"/>
    </xf>
    <xf numFmtId="164" fontId="8" fillId="4" borderId="11" xfId="49" applyNumberFormat="1" applyFont="1" applyFill="1" applyBorder="1" applyAlignment="1" applyProtection="1">
      <alignment vertical="center" wrapText="1" readingOrder="1"/>
    </xf>
    <xf numFmtId="164" fontId="8" fillId="37" borderId="6" xfId="49" applyNumberFormat="1" applyFont="1" applyFill="1" applyBorder="1" applyAlignment="1" applyProtection="1">
      <alignment horizontal="right" vertical="center" wrapText="1" readingOrder="1"/>
    </xf>
    <xf numFmtId="164" fontId="8" fillId="37" borderId="15" xfId="49" applyNumberFormat="1" applyFont="1" applyFill="1" applyBorder="1" applyAlignment="1" applyProtection="1">
      <alignment horizontal="right" vertical="center" wrapText="1" readingOrder="1"/>
    </xf>
    <xf numFmtId="49" fontId="6" fillId="5" borderId="8" xfId="49" applyNumberFormat="1" applyFont="1" applyFill="1" applyBorder="1" applyAlignment="1" applyProtection="1">
      <alignment vertical="top" wrapText="1" readingOrder="1"/>
    </xf>
    <xf numFmtId="49" fontId="6" fillId="5" borderId="13" xfId="49" applyNumberFormat="1" applyFont="1" applyFill="1" applyBorder="1" applyAlignment="1" applyProtection="1">
      <alignment vertical="top" wrapText="1" readingOrder="1"/>
    </xf>
    <xf numFmtId="164" fontId="33" fillId="3" borderId="4" xfId="49" applyNumberFormat="1" applyFont="1" applyFill="1" applyBorder="1" applyAlignment="1" applyProtection="1">
      <alignment horizontal="center" vertical="center" wrapText="1" readingOrder="1"/>
    </xf>
    <xf numFmtId="164" fontId="33" fillId="3" borderId="14" xfId="49" applyNumberFormat="1" applyFont="1" applyFill="1" applyBorder="1" applyAlignment="1" applyProtection="1">
      <alignment horizontal="center" vertical="center" wrapText="1" readingOrder="1"/>
    </xf>
    <xf numFmtId="164" fontId="33" fillId="37" borderId="4" xfId="49" applyNumberFormat="1" applyFont="1" applyFill="1" applyBorder="1" applyAlignment="1" applyProtection="1">
      <alignment horizontal="center" vertical="center" wrapText="1" readingOrder="1"/>
    </xf>
    <xf numFmtId="164" fontId="33" fillId="37" borderId="14" xfId="49" applyNumberFormat="1" applyFont="1" applyFill="1" applyBorder="1" applyAlignment="1" applyProtection="1">
      <alignment horizontal="center" vertical="center" wrapText="1" readingOrder="1"/>
    </xf>
    <xf numFmtId="2" fontId="34" fillId="5" borderId="4" xfId="49" applyNumberFormat="1" applyFont="1" applyFill="1" applyBorder="1" applyAlignment="1" applyProtection="1">
      <alignment vertical="center" wrapText="1" readingOrder="1"/>
    </xf>
    <xf numFmtId="2" fontId="0" fillId="0" borderId="14" xfId="0" applyNumberFormat="1" applyFont="1" applyFill="1" applyBorder="1" applyAlignment="1" applyProtection="1">
      <alignment vertical="center" wrapText="1" readingOrder="1"/>
    </xf>
  </cellXfs>
  <cellStyles count="63">
    <cellStyle name="20% - Accent1" xfId="1" builtinId="30" customBuiltin="1"/>
    <cellStyle name="20% - Accent1 2" xfId="2" xr:uid="{00000000-0005-0000-0000-000001000000}"/>
    <cellStyle name="20% - Accent2" xfId="3" builtinId="34" customBuiltin="1"/>
    <cellStyle name="20% - Accent2 2" xfId="4" xr:uid="{00000000-0005-0000-0000-000003000000}"/>
    <cellStyle name="20% - Accent3" xfId="5" builtinId="38" customBuiltin="1"/>
    <cellStyle name="20% - Accent3 2" xfId="6" xr:uid="{00000000-0005-0000-0000-000005000000}"/>
    <cellStyle name="20% - Accent4" xfId="7" builtinId="42" customBuiltin="1"/>
    <cellStyle name="20% - Accent4 2" xfId="8" xr:uid="{00000000-0005-0000-0000-000007000000}"/>
    <cellStyle name="20% - Accent5" xfId="9" builtinId="46" customBuiltin="1"/>
    <cellStyle name="20% - Accent5 2" xfId="10" xr:uid="{00000000-0005-0000-0000-000009000000}"/>
    <cellStyle name="20% - Accent6" xfId="11" builtinId="50" customBuiltin="1"/>
    <cellStyle name="20% - Accent6 2" xfId="12" xr:uid="{00000000-0005-0000-0000-00000B000000}"/>
    <cellStyle name="40% - Accent1" xfId="13" builtinId="31" customBuiltin="1"/>
    <cellStyle name="40% - Accent1 2" xfId="14" xr:uid="{00000000-0005-0000-0000-00000D000000}"/>
    <cellStyle name="40% - Accent2" xfId="15" builtinId="35" customBuiltin="1"/>
    <cellStyle name="40% - Accent2 2" xfId="16" xr:uid="{00000000-0005-0000-0000-00000F000000}"/>
    <cellStyle name="40% - Accent3" xfId="17" builtinId="39" customBuiltin="1"/>
    <cellStyle name="40% - Accent3 2" xfId="18" xr:uid="{00000000-0005-0000-0000-000011000000}"/>
    <cellStyle name="40% - Accent4" xfId="19" builtinId="43" customBuiltin="1"/>
    <cellStyle name="40% - Accent4 2" xfId="20" xr:uid="{00000000-0005-0000-0000-000013000000}"/>
    <cellStyle name="40% - Accent5" xfId="21" builtinId="47" customBuiltin="1"/>
    <cellStyle name="40% - Accent5 2" xfId="22" xr:uid="{00000000-0005-0000-0000-000015000000}"/>
    <cellStyle name="40% - Accent6" xfId="23" builtinId="51" customBuiltin="1"/>
    <cellStyle name="40% - Accent6 2" xfId="24" xr:uid="{00000000-0005-0000-0000-000017000000}"/>
    <cellStyle name="60% - Accent1" xfId="25" builtinId="32" customBuiltin="1"/>
    <cellStyle name="60% - Accent2" xfId="26" builtinId="36" customBuiltin="1"/>
    <cellStyle name="60% - Accent3" xfId="27" builtinId="40" customBuiltin="1"/>
    <cellStyle name="60% - Accent4" xfId="28" builtinId="44" customBuiltin="1"/>
    <cellStyle name="60% - Accent5" xfId="29" builtinId="48" customBuiltin="1"/>
    <cellStyle name="60% - Accent6" xfId="30" builtinId="52" customBuiltin="1"/>
    <cellStyle name="Accent1" xfId="31" builtinId="29" customBuiltin="1"/>
    <cellStyle name="Accent2" xfId="32" builtinId="33" customBuiltin="1"/>
    <cellStyle name="Accent3" xfId="33" builtinId="37" customBuiltin="1"/>
    <cellStyle name="Accent4" xfId="34" builtinId="41" customBuiltin="1"/>
    <cellStyle name="Accent5" xfId="35" builtinId="45" customBuiltin="1"/>
    <cellStyle name="Accent6" xfId="36" builtinId="49" customBuiltin="1"/>
    <cellStyle name="Bad" xfId="37" builtinId="27" customBuiltin="1"/>
    <cellStyle name="Calculation" xfId="38" builtinId="22" customBuiltin="1"/>
    <cellStyle name="Check Cell" xfId="39" builtinId="23" customBuiltin="1"/>
    <cellStyle name="Explanatory Text" xfId="40" builtinId="53" customBuiltin="1"/>
    <cellStyle name="Good" xfId="41" builtinId="26" customBuiltin="1"/>
    <cellStyle name="Heading 1" xfId="42" builtinId="16" customBuiltin="1"/>
    <cellStyle name="Heading 2" xfId="43" builtinId="17" customBuiltin="1"/>
    <cellStyle name="Heading 3" xfId="44" builtinId="18" customBuiltin="1"/>
    <cellStyle name="Heading 4" xfId="45" builtinId="19" customBuiltin="1"/>
    <cellStyle name="Input" xfId="46" builtinId="20" customBuiltin="1"/>
    <cellStyle name="Linked Cell" xfId="47" builtinId="24" customBuiltin="1"/>
    <cellStyle name="Neutral" xfId="48" builtinId="28" customBuiltin="1"/>
    <cellStyle name="Normal" xfId="0" builtinId="0"/>
    <cellStyle name="Normal 2" xfId="49" xr:uid="{00000000-0005-0000-0000-000031000000}"/>
    <cellStyle name="Normal 2 2" xfId="50" xr:uid="{00000000-0005-0000-0000-000032000000}"/>
    <cellStyle name="Normal 3" xfId="51" xr:uid="{00000000-0005-0000-0000-000033000000}"/>
    <cellStyle name="Normal 3 2" xfId="52" xr:uid="{00000000-0005-0000-0000-000034000000}"/>
    <cellStyle name="Normal 4" xfId="53" xr:uid="{00000000-0005-0000-0000-000035000000}"/>
    <cellStyle name="Note 2" xfId="54" xr:uid="{00000000-0005-0000-0000-000036000000}"/>
    <cellStyle name="Note 2 2" xfId="55" xr:uid="{00000000-0005-0000-0000-000037000000}"/>
    <cellStyle name="Output" xfId="56" builtinId="21" customBuiltin="1"/>
    <cellStyle name="Percent" xfId="57" builtinId="5"/>
    <cellStyle name="Percent 2" xfId="58" xr:uid="{00000000-0005-0000-0000-00003A000000}"/>
    <cellStyle name="Percent 2 2" xfId="59" xr:uid="{00000000-0005-0000-0000-00003B000000}"/>
    <cellStyle name="Title" xfId="60" builtinId="15" customBuiltin="1"/>
    <cellStyle name="Total" xfId="61" builtinId="25" customBuiltin="1"/>
    <cellStyle name="Warning Text" xfId="62" builtinId="11" customBuiltin="1"/>
  </cellStyles>
  <dxfs count="135">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ill>
        <patternFill>
          <bgColor rgb="FF009865"/>
        </patternFill>
      </fill>
    </dxf>
    <dxf>
      <font>
        <color auto="1"/>
      </font>
      <fill>
        <patternFill>
          <bgColor theme="0"/>
        </patternFill>
      </fill>
    </dxf>
    <dxf>
      <fill>
        <patternFill patternType="solid">
          <bgColor rgb="FF00986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0"/>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ill>
        <patternFill>
          <bgColor rgb="FF009865"/>
        </patternFill>
      </fill>
    </dxf>
    <dxf>
      <font>
        <color auto="1"/>
      </font>
      <fill>
        <patternFill>
          <bgColor theme="0"/>
        </patternFill>
      </fill>
    </dxf>
    <dxf>
      <fill>
        <patternFill patternType="solid">
          <bgColor rgb="FF00986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0"/>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ill>
        <patternFill>
          <bgColor rgb="FF009865"/>
        </patternFill>
      </fill>
    </dxf>
    <dxf>
      <font>
        <color auto="1"/>
      </font>
      <fill>
        <patternFill>
          <bgColor theme="0"/>
        </patternFill>
      </fill>
    </dxf>
    <dxf>
      <fill>
        <patternFill patternType="solid">
          <bgColor rgb="FF00986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0"/>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ill>
        <patternFill>
          <bgColor rgb="FF009865"/>
        </patternFill>
      </fill>
    </dxf>
    <dxf>
      <font>
        <color auto="1"/>
      </font>
      <fill>
        <patternFill>
          <bgColor theme="0"/>
        </patternFill>
      </fill>
    </dxf>
    <dxf>
      <fill>
        <patternFill patternType="solid">
          <bgColor rgb="FF00986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fill>
        <patternFill>
          <bgColor theme="0"/>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auto="1"/>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patternFill>
      </fill>
    </dxf>
    <dxf>
      <fill>
        <patternFill patternType="solid">
          <bgColor rgb="FF009865"/>
        </patternFill>
      </fill>
    </dxf>
    <dxf>
      <fill>
        <patternFill patternType="solid">
          <bgColor rgb="FF00C389"/>
        </patternFill>
      </fill>
    </dxf>
    <dxf>
      <fill>
        <patternFill patternType="solid">
          <bgColor rgb="FFFFB81C"/>
        </patternFill>
      </fill>
    </dxf>
    <dxf>
      <fill>
        <patternFill patternType="solid">
          <bgColor rgb="FFFF8500"/>
        </patternFill>
      </fill>
    </dxf>
    <dxf>
      <fill>
        <patternFill patternType="solid">
          <bgColor rgb="FFA31E22"/>
        </patternFill>
      </fill>
    </dxf>
  </dxfs>
  <tableStyles count="0" defaultTableStyle="TableStyleMedium2" defaultPivotStyle="PivotStyleLight16"/>
  <colors>
    <mruColors>
      <color rgb="FF009865"/>
      <color rgb="FF00C389"/>
      <color rgb="FFFFB81C"/>
      <color rgb="FFFF8500"/>
      <color rgb="FFA31E22"/>
      <color rgb="FF889E0A"/>
      <color rgb="FF99CC00"/>
      <color rgb="FF6699FF"/>
      <color rgb="FF00B0F0"/>
      <color rgb="FF597F1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44652908067542"/>
          <c:y val="4.1162227602905568E-2"/>
          <c:w val="0.85508291595136543"/>
          <c:h val="0.84363294516807186"/>
        </c:manualLayout>
      </c:layout>
      <c:bubbleChart>
        <c:varyColors val="0"/>
        <c:ser>
          <c:idx val="0"/>
          <c:order val="0"/>
          <c:tx>
            <c:v>AfterBC</c:v>
          </c:tx>
          <c:spPr>
            <a:solidFill>
              <a:srgbClr val="FF8080"/>
            </a:solidFill>
            <a:ln w="12700">
              <a:solidFill>
                <a:srgbClr val="000000"/>
              </a:solidFill>
              <a:prstDash val="solid"/>
            </a:ln>
          </c:spPr>
          <c:invertIfNegative val="1"/>
          <c:dPt>
            <c:idx val="0"/>
            <c:invertIfNegative val="1"/>
            <c:bubble3D val="0"/>
            <c:spPr>
              <a:solidFill>
                <a:srgbClr val="0070C0"/>
              </a:solidFill>
              <a:ln w="12700">
                <a:solidFill>
                  <a:srgbClr val="000000"/>
                </a:solidFill>
                <a:prstDash val="solid"/>
              </a:ln>
            </c:spPr>
            <c:extLst>
              <c:ext xmlns:c16="http://schemas.microsoft.com/office/drawing/2014/chart" uri="{C3380CC4-5D6E-409C-BE32-E72D297353CC}">
                <c16:uniqueId val="{00000001-E6E4-4C2B-81C9-A7C5DCF06317}"/>
              </c:ext>
            </c:extLst>
          </c:dPt>
          <c:dPt>
            <c:idx val="1"/>
            <c:invertIfNegative val="1"/>
            <c:bubble3D val="0"/>
            <c:spPr>
              <a:solidFill>
                <a:srgbClr val="00B0F0"/>
              </a:solidFill>
              <a:ln w="12700">
                <a:solidFill>
                  <a:srgbClr val="000000"/>
                </a:solidFill>
                <a:prstDash val="solid"/>
              </a:ln>
            </c:spPr>
            <c:extLst>
              <c:ext xmlns:c16="http://schemas.microsoft.com/office/drawing/2014/chart" uri="{C3380CC4-5D6E-409C-BE32-E72D297353CC}">
                <c16:uniqueId val="{00000003-E6E4-4C2B-81C9-A7C5DCF06317}"/>
              </c:ext>
            </c:extLst>
          </c:dPt>
          <c:dPt>
            <c:idx val="2"/>
            <c:invertIfNegative val="1"/>
            <c:bubble3D val="0"/>
            <c:spPr>
              <a:solidFill>
                <a:srgbClr val="597F19"/>
              </a:solidFill>
              <a:ln w="12700">
                <a:solidFill>
                  <a:srgbClr val="000000"/>
                </a:solidFill>
                <a:prstDash val="solid"/>
              </a:ln>
            </c:spPr>
            <c:extLst>
              <c:ext xmlns:c16="http://schemas.microsoft.com/office/drawing/2014/chart" uri="{C3380CC4-5D6E-409C-BE32-E72D297353CC}">
                <c16:uniqueId val="{00000005-E6E4-4C2B-81C9-A7C5DCF06317}"/>
              </c:ext>
            </c:extLst>
          </c:dPt>
          <c:dPt>
            <c:idx val="3"/>
            <c:invertIfNegative val="1"/>
            <c:bubble3D val="0"/>
            <c:spPr>
              <a:solidFill>
                <a:srgbClr val="92D050"/>
              </a:solidFill>
              <a:ln w="12700">
                <a:solidFill>
                  <a:srgbClr val="000000"/>
                </a:solidFill>
                <a:prstDash val="solid"/>
              </a:ln>
            </c:spPr>
            <c:extLst>
              <c:ext xmlns:c16="http://schemas.microsoft.com/office/drawing/2014/chart" uri="{C3380CC4-5D6E-409C-BE32-E72D297353CC}">
                <c16:uniqueId val="{00000007-E6E4-4C2B-81C9-A7C5DCF06317}"/>
              </c:ext>
            </c:extLst>
          </c:dPt>
          <c:dPt>
            <c:idx val="4"/>
            <c:invertIfNegative val="1"/>
            <c:bubble3D val="0"/>
            <c:spPr>
              <a:solidFill>
                <a:srgbClr val="FFC000"/>
              </a:solidFill>
              <a:ln w="12700">
                <a:solidFill>
                  <a:srgbClr val="000000"/>
                </a:solidFill>
                <a:prstDash val="solid"/>
              </a:ln>
            </c:spPr>
            <c:extLst>
              <c:ext xmlns:c16="http://schemas.microsoft.com/office/drawing/2014/chart" uri="{C3380CC4-5D6E-409C-BE32-E72D297353CC}">
                <c16:uniqueId val="{00000009-E6E4-4C2B-81C9-A7C5DCF06317}"/>
              </c:ext>
            </c:extLst>
          </c:dPt>
          <c:dPt>
            <c:idx val="5"/>
            <c:invertIfNegative val="1"/>
            <c:bubble3D val="0"/>
            <c:spPr>
              <a:solidFill>
                <a:srgbClr val="00B0F0"/>
              </a:solidFill>
              <a:ln w="12700">
                <a:solidFill>
                  <a:srgbClr val="000000"/>
                </a:solidFill>
                <a:prstDash val="solid"/>
              </a:ln>
            </c:spPr>
            <c:extLst>
              <c:ext xmlns:c16="http://schemas.microsoft.com/office/drawing/2014/chart" uri="{C3380CC4-5D6E-409C-BE32-E72D297353CC}">
                <c16:uniqueId val="{0000000B-E6E4-4C2B-81C9-A7C5DCF06317}"/>
              </c:ext>
            </c:extLst>
          </c:dPt>
          <c:dPt>
            <c:idx val="6"/>
            <c:invertIfNegative val="1"/>
            <c:bubble3D val="0"/>
            <c:spPr>
              <a:solidFill>
                <a:srgbClr val="597F19"/>
              </a:solidFill>
              <a:ln w="12700">
                <a:solidFill>
                  <a:srgbClr val="000000"/>
                </a:solidFill>
                <a:prstDash val="solid"/>
              </a:ln>
            </c:spPr>
            <c:extLst>
              <c:ext xmlns:c16="http://schemas.microsoft.com/office/drawing/2014/chart" uri="{C3380CC4-5D6E-409C-BE32-E72D297353CC}">
                <c16:uniqueId val="{0000000D-E6E4-4C2B-81C9-A7C5DCF06317}"/>
              </c:ext>
            </c:extLst>
          </c:dPt>
          <c:dPt>
            <c:idx val="7"/>
            <c:invertIfNegative val="1"/>
            <c:bubble3D val="0"/>
            <c:spPr>
              <a:solidFill>
                <a:srgbClr val="92D050"/>
              </a:solidFill>
              <a:ln w="12700">
                <a:solidFill>
                  <a:srgbClr val="000000"/>
                </a:solidFill>
                <a:prstDash val="solid"/>
              </a:ln>
            </c:spPr>
            <c:extLst>
              <c:ext xmlns:c16="http://schemas.microsoft.com/office/drawing/2014/chart" uri="{C3380CC4-5D6E-409C-BE32-E72D297353CC}">
                <c16:uniqueId val="{0000000F-E6E4-4C2B-81C9-A7C5DCF06317}"/>
              </c:ext>
            </c:extLst>
          </c:dPt>
          <c:dPt>
            <c:idx val="8"/>
            <c:invertIfNegative val="1"/>
            <c:bubble3D val="0"/>
            <c:spPr>
              <a:solidFill>
                <a:srgbClr val="FFC000"/>
              </a:solidFill>
              <a:ln w="12700">
                <a:solidFill>
                  <a:srgbClr val="000000"/>
                </a:solidFill>
                <a:prstDash val="solid"/>
              </a:ln>
            </c:spPr>
            <c:extLst>
              <c:ext xmlns:c16="http://schemas.microsoft.com/office/drawing/2014/chart" uri="{C3380CC4-5D6E-409C-BE32-E72D297353CC}">
                <c16:uniqueId val="{00000011-E6E4-4C2B-81C9-A7C5DCF06317}"/>
              </c:ext>
            </c:extLst>
          </c:dPt>
          <c:dPt>
            <c:idx val="9"/>
            <c:invertIfNegative val="1"/>
            <c:bubble3D val="0"/>
            <c:spPr>
              <a:solidFill>
                <a:srgbClr val="FF9900"/>
              </a:solidFill>
              <a:ln w="12700">
                <a:solidFill>
                  <a:srgbClr val="000000"/>
                </a:solidFill>
                <a:prstDash val="solid"/>
              </a:ln>
            </c:spPr>
            <c:extLst>
              <c:ext xmlns:c16="http://schemas.microsoft.com/office/drawing/2014/chart" uri="{C3380CC4-5D6E-409C-BE32-E72D297353CC}">
                <c16:uniqueId val="{00000013-E6E4-4C2B-81C9-A7C5DCF06317}"/>
              </c:ext>
            </c:extLst>
          </c:dPt>
          <c:dPt>
            <c:idx val="10"/>
            <c:invertIfNegative val="1"/>
            <c:bubble3D val="0"/>
            <c:spPr>
              <a:solidFill>
                <a:srgbClr val="597F19"/>
              </a:solidFill>
              <a:ln w="12700">
                <a:solidFill>
                  <a:srgbClr val="000000"/>
                </a:solidFill>
                <a:prstDash val="solid"/>
              </a:ln>
            </c:spPr>
            <c:extLst>
              <c:ext xmlns:c16="http://schemas.microsoft.com/office/drawing/2014/chart" uri="{C3380CC4-5D6E-409C-BE32-E72D297353CC}">
                <c16:uniqueId val="{00000015-E6E4-4C2B-81C9-A7C5DCF06317}"/>
              </c:ext>
            </c:extLst>
          </c:dPt>
          <c:dPt>
            <c:idx val="11"/>
            <c:invertIfNegative val="1"/>
            <c:bubble3D val="0"/>
            <c:spPr>
              <a:solidFill>
                <a:srgbClr val="92D050"/>
              </a:solidFill>
              <a:ln w="12700">
                <a:solidFill>
                  <a:srgbClr val="000000"/>
                </a:solidFill>
                <a:prstDash val="solid"/>
              </a:ln>
            </c:spPr>
            <c:extLst>
              <c:ext xmlns:c16="http://schemas.microsoft.com/office/drawing/2014/chart" uri="{C3380CC4-5D6E-409C-BE32-E72D297353CC}">
                <c16:uniqueId val="{00000017-E6E4-4C2B-81C9-A7C5DCF06317}"/>
              </c:ext>
            </c:extLst>
          </c:dPt>
          <c:dPt>
            <c:idx val="12"/>
            <c:invertIfNegative val="1"/>
            <c:bubble3D val="0"/>
            <c:spPr>
              <a:solidFill>
                <a:srgbClr val="FFC000"/>
              </a:solidFill>
              <a:ln w="12700">
                <a:solidFill>
                  <a:srgbClr val="000000"/>
                </a:solidFill>
                <a:prstDash val="solid"/>
              </a:ln>
            </c:spPr>
            <c:extLst>
              <c:ext xmlns:c16="http://schemas.microsoft.com/office/drawing/2014/chart" uri="{C3380CC4-5D6E-409C-BE32-E72D297353CC}">
                <c16:uniqueId val="{00000019-E6E4-4C2B-81C9-A7C5DCF06317}"/>
              </c:ext>
            </c:extLst>
          </c:dPt>
          <c:dPt>
            <c:idx val="13"/>
            <c:invertIfNegative val="1"/>
            <c:bubble3D val="0"/>
            <c:spPr>
              <a:solidFill>
                <a:srgbClr val="FF9900"/>
              </a:solidFill>
              <a:ln w="12700">
                <a:solidFill>
                  <a:srgbClr val="000000"/>
                </a:solidFill>
                <a:prstDash val="solid"/>
              </a:ln>
            </c:spPr>
            <c:extLst>
              <c:ext xmlns:c16="http://schemas.microsoft.com/office/drawing/2014/chart" uri="{C3380CC4-5D6E-409C-BE32-E72D297353CC}">
                <c16:uniqueId val="{0000001B-E6E4-4C2B-81C9-A7C5DCF06317}"/>
              </c:ext>
            </c:extLst>
          </c:dPt>
          <c:dPt>
            <c:idx val="14"/>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1D-E6E4-4C2B-81C9-A7C5DCF06317}"/>
              </c:ext>
            </c:extLst>
          </c:dPt>
          <c:dPt>
            <c:idx val="15"/>
            <c:invertIfNegative val="1"/>
            <c:bubble3D val="0"/>
            <c:spPr>
              <a:solidFill>
                <a:srgbClr val="92D050"/>
              </a:solidFill>
              <a:ln w="12700">
                <a:solidFill>
                  <a:srgbClr val="000000"/>
                </a:solidFill>
                <a:prstDash val="solid"/>
              </a:ln>
            </c:spPr>
            <c:extLst>
              <c:ext xmlns:c16="http://schemas.microsoft.com/office/drawing/2014/chart" uri="{C3380CC4-5D6E-409C-BE32-E72D297353CC}">
                <c16:uniqueId val="{0000001F-E6E4-4C2B-81C9-A7C5DCF06317}"/>
              </c:ext>
            </c:extLst>
          </c:dPt>
          <c:dPt>
            <c:idx val="16"/>
            <c:invertIfNegative val="1"/>
            <c:bubble3D val="0"/>
            <c:spPr>
              <a:solidFill>
                <a:srgbClr val="FFCC00"/>
              </a:solidFill>
              <a:ln w="12700">
                <a:solidFill>
                  <a:srgbClr val="000000"/>
                </a:solidFill>
                <a:prstDash val="solid"/>
              </a:ln>
            </c:spPr>
            <c:extLst>
              <c:ext xmlns:c16="http://schemas.microsoft.com/office/drawing/2014/chart" uri="{C3380CC4-5D6E-409C-BE32-E72D297353CC}">
                <c16:uniqueId val="{00000021-E6E4-4C2B-81C9-A7C5DCF06317}"/>
              </c:ext>
            </c:extLst>
          </c:dPt>
          <c:dPt>
            <c:idx val="17"/>
            <c:invertIfNegative val="1"/>
            <c:bubble3D val="0"/>
            <c:spPr>
              <a:solidFill>
                <a:srgbClr val="FF9900"/>
              </a:solidFill>
              <a:ln w="12700">
                <a:solidFill>
                  <a:srgbClr val="000000"/>
                </a:solidFill>
                <a:prstDash val="solid"/>
              </a:ln>
            </c:spPr>
            <c:extLst>
              <c:ext xmlns:c16="http://schemas.microsoft.com/office/drawing/2014/chart" uri="{C3380CC4-5D6E-409C-BE32-E72D297353CC}">
                <c16:uniqueId val="{00000023-E6E4-4C2B-81C9-A7C5DCF06317}"/>
              </c:ext>
            </c:extLst>
          </c:dPt>
          <c:dPt>
            <c:idx val="18"/>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25-E6E4-4C2B-81C9-A7C5DCF06317}"/>
              </c:ext>
            </c:extLst>
          </c:dPt>
          <c:dPt>
            <c:idx val="19"/>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27-E6E4-4C2B-81C9-A7C5DCF06317}"/>
              </c:ext>
            </c:extLst>
          </c:dPt>
          <c:dPt>
            <c:idx val="20"/>
            <c:invertIfNegative val="1"/>
            <c:bubble3D val="0"/>
            <c:spPr>
              <a:solidFill>
                <a:srgbClr val="FFC000"/>
              </a:solidFill>
              <a:ln w="12700">
                <a:solidFill>
                  <a:srgbClr val="000000"/>
                </a:solidFill>
                <a:prstDash val="solid"/>
              </a:ln>
            </c:spPr>
            <c:extLst>
              <c:ext xmlns:c16="http://schemas.microsoft.com/office/drawing/2014/chart" uri="{C3380CC4-5D6E-409C-BE32-E72D297353CC}">
                <c16:uniqueId val="{00000029-E6E4-4C2B-81C9-A7C5DCF06317}"/>
              </c:ext>
            </c:extLst>
          </c:dPt>
          <c:dPt>
            <c:idx val="21"/>
            <c:invertIfNegative val="1"/>
            <c:bubble3D val="0"/>
            <c:spPr>
              <a:solidFill>
                <a:srgbClr val="FF9900"/>
              </a:solidFill>
              <a:ln w="12700">
                <a:solidFill>
                  <a:srgbClr val="000000"/>
                </a:solidFill>
                <a:prstDash val="solid"/>
              </a:ln>
            </c:spPr>
            <c:extLst>
              <c:ext xmlns:c16="http://schemas.microsoft.com/office/drawing/2014/chart" uri="{C3380CC4-5D6E-409C-BE32-E72D297353CC}">
                <c16:uniqueId val="{0000002B-E6E4-4C2B-81C9-A7C5DCF06317}"/>
              </c:ext>
            </c:extLst>
          </c:dPt>
          <c:dPt>
            <c:idx val="22"/>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2D-E6E4-4C2B-81C9-A7C5DCF06317}"/>
              </c:ext>
            </c:extLst>
          </c:dPt>
          <c:dPt>
            <c:idx val="23"/>
            <c:invertIfNegative val="1"/>
            <c:bubble3D val="0"/>
            <c:spPr>
              <a:solidFill>
                <a:srgbClr val="FF0000"/>
              </a:solidFill>
              <a:ln w="12700">
                <a:solidFill>
                  <a:srgbClr val="000000"/>
                </a:solidFill>
                <a:prstDash val="solid"/>
              </a:ln>
            </c:spPr>
            <c:extLst>
              <c:ext xmlns:c16="http://schemas.microsoft.com/office/drawing/2014/chart" uri="{C3380CC4-5D6E-409C-BE32-E72D297353CC}">
                <c16:uniqueId val="{0000002F-E6E4-4C2B-81C9-A7C5DCF06317}"/>
              </c:ext>
            </c:extLst>
          </c:dPt>
          <c:dPt>
            <c:idx val="24"/>
            <c:invertIfNegative val="1"/>
            <c:bubble3D val="0"/>
            <c:spPr>
              <a:solidFill>
                <a:srgbClr val="C00000"/>
              </a:solidFill>
              <a:ln w="12700">
                <a:solidFill>
                  <a:srgbClr val="000000"/>
                </a:solidFill>
                <a:prstDash val="solid"/>
              </a:ln>
            </c:spPr>
            <c:extLst>
              <c:ext xmlns:c16="http://schemas.microsoft.com/office/drawing/2014/chart" uri="{C3380CC4-5D6E-409C-BE32-E72D297353CC}">
                <c16:uniqueId val="{00000031-E6E4-4C2B-81C9-A7C5DCF06317}"/>
              </c:ext>
            </c:extLst>
          </c:dPt>
          <c:dLbls>
            <c:spPr>
              <a:noFill/>
              <a:ln w="25400">
                <a:noFill/>
              </a:ln>
            </c:spPr>
            <c:txPr>
              <a:bodyPr/>
              <a:lstStyle/>
              <a:p>
                <a:pPr>
                  <a:defRPr sz="1200" b="1" i="0" u="none" strike="noStrike" baseline="0">
                    <a:solidFill>
                      <a:srgbClr val="000000"/>
                    </a:solidFill>
                    <a:latin typeface="Arial"/>
                    <a:ea typeface="Arial"/>
                    <a:cs typeface="Arial"/>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xVal>
            <c:numLit>
              <c:formatCode>General</c:formatCode>
              <c:ptCount val="25"/>
              <c:pt idx="0">
                <c:v>1</c:v>
              </c:pt>
              <c:pt idx="1">
                <c:v>2</c:v>
              </c:pt>
              <c:pt idx="2">
                <c:v>3</c:v>
              </c:pt>
              <c:pt idx="3">
                <c:v>4</c:v>
              </c:pt>
              <c:pt idx="4">
                <c:v>5</c:v>
              </c:pt>
              <c:pt idx="5">
                <c:v>1</c:v>
              </c:pt>
              <c:pt idx="6">
                <c:v>2</c:v>
              </c:pt>
              <c:pt idx="7">
                <c:v>3</c:v>
              </c:pt>
              <c:pt idx="8">
                <c:v>4</c:v>
              </c:pt>
              <c:pt idx="9">
                <c:v>5</c:v>
              </c:pt>
              <c:pt idx="10">
                <c:v>1</c:v>
              </c:pt>
              <c:pt idx="11">
                <c:v>2</c:v>
              </c:pt>
              <c:pt idx="12">
                <c:v>3</c:v>
              </c:pt>
              <c:pt idx="13">
                <c:v>4</c:v>
              </c:pt>
              <c:pt idx="14">
                <c:v>5</c:v>
              </c:pt>
              <c:pt idx="15">
                <c:v>1</c:v>
              </c:pt>
              <c:pt idx="16">
                <c:v>2</c:v>
              </c:pt>
              <c:pt idx="17">
                <c:v>3</c:v>
              </c:pt>
              <c:pt idx="18">
                <c:v>4</c:v>
              </c:pt>
              <c:pt idx="19">
                <c:v>5</c:v>
              </c:pt>
              <c:pt idx="20">
                <c:v>1</c:v>
              </c:pt>
              <c:pt idx="21">
                <c:v>2</c:v>
              </c:pt>
              <c:pt idx="22">
                <c:v>3</c:v>
              </c:pt>
              <c:pt idx="23">
                <c:v>4</c:v>
              </c:pt>
              <c:pt idx="24">
                <c:v>5</c:v>
              </c:pt>
            </c:numLit>
          </c:xVal>
          <c:yVal>
            <c:numLit>
              <c:formatCode>General</c:formatCode>
              <c:ptCount val="25"/>
              <c:pt idx="0">
                <c:v>1</c:v>
              </c:pt>
              <c:pt idx="1">
                <c:v>1</c:v>
              </c:pt>
              <c:pt idx="2">
                <c:v>1</c:v>
              </c:pt>
              <c:pt idx="3">
                <c:v>1</c:v>
              </c:pt>
              <c:pt idx="4">
                <c:v>1</c:v>
              </c:pt>
              <c:pt idx="5">
                <c:v>2</c:v>
              </c:pt>
              <c:pt idx="6">
                <c:v>2</c:v>
              </c:pt>
              <c:pt idx="7">
                <c:v>2</c:v>
              </c:pt>
              <c:pt idx="8">
                <c:v>2</c:v>
              </c:pt>
              <c:pt idx="9">
                <c:v>2</c:v>
              </c:pt>
              <c:pt idx="10">
                <c:v>3</c:v>
              </c:pt>
              <c:pt idx="11">
                <c:v>3</c:v>
              </c:pt>
              <c:pt idx="12">
                <c:v>3</c:v>
              </c:pt>
              <c:pt idx="13">
                <c:v>3</c:v>
              </c:pt>
              <c:pt idx="14">
                <c:v>3</c:v>
              </c:pt>
              <c:pt idx="15">
                <c:v>4</c:v>
              </c:pt>
              <c:pt idx="16">
                <c:v>4</c:v>
              </c:pt>
              <c:pt idx="17">
                <c:v>4</c:v>
              </c:pt>
              <c:pt idx="18">
                <c:v>4</c:v>
              </c:pt>
              <c:pt idx="19">
                <c:v>4</c:v>
              </c:pt>
              <c:pt idx="20">
                <c:v>5</c:v>
              </c:pt>
              <c:pt idx="21">
                <c:v>5</c:v>
              </c:pt>
              <c:pt idx="22">
                <c:v>5</c:v>
              </c:pt>
              <c:pt idx="23">
                <c:v>5</c:v>
              </c:pt>
              <c:pt idx="24">
                <c:v>5</c:v>
              </c:pt>
            </c:numLit>
          </c:yVal>
          <c:bubbleSize>
            <c:numRef>
              <c:f>'Read Me'!$Z$31:$Z$55</c:f>
              <c:numCache>
                <c:formatCode>General</c:formatCode>
                <c:ptCount val="25"/>
              </c:numCache>
            </c:numRef>
          </c:bubbleSize>
          <c:bubble3D val="0"/>
          <c:extLst>
            <c:ext xmlns:c14="http://schemas.microsoft.com/office/drawing/2007/8/2/chart" uri="{6F2FDCE9-48DA-4B69-8628-5D25D57E5C99}">
              <c14:invertSolidFillFmt>
                <c14:spPr xmlns:c14="http://schemas.microsoft.com/office/drawing/2007/8/2/chart">
                  <a:solidFill>
                    <a:srgbClr val="FFFFFF"/>
                  </a:solidFill>
                  <a:ln w="12700">
                    <a:solidFill>
                      <a:srgbClr val="000000"/>
                    </a:solidFill>
                    <a:prstDash val="solid"/>
                  </a:ln>
                </c14:spPr>
              </c14:invertSolidFillFmt>
            </c:ext>
            <c:ext xmlns:c16="http://schemas.microsoft.com/office/drawing/2014/chart" uri="{C3380CC4-5D6E-409C-BE32-E72D297353CC}">
              <c16:uniqueId val="{00000032-E6E4-4C2B-81C9-A7C5DCF06317}"/>
            </c:ext>
          </c:extLst>
        </c:ser>
        <c:dLbls>
          <c:showLegendKey val="0"/>
          <c:showVal val="0"/>
          <c:showCatName val="0"/>
          <c:showSerName val="0"/>
          <c:showPercent val="0"/>
          <c:showBubbleSize val="0"/>
        </c:dLbls>
        <c:bubbleScale val="80"/>
        <c:showNegBubbles val="0"/>
        <c:axId val="176472064"/>
        <c:axId val="176473984"/>
      </c:bubbleChart>
      <c:valAx>
        <c:axId val="176472064"/>
        <c:scaling>
          <c:orientation val="minMax"/>
          <c:max val="6"/>
          <c:min val="0"/>
        </c:scaling>
        <c:delete val="0"/>
        <c:axPos val="b"/>
        <c:majorGridlines>
          <c:spPr>
            <a:ln w="3175">
              <a:solidFill>
                <a:srgbClr val="000000"/>
              </a:solidFill>
              <a:prstDash val="sysDash"/>
            </a:ln>
          </c:spPr>
        </c:majorGridlines>
        <c:title>
          <c:tx>
            <c:rich>
              <a:bodyPr/>
              <a:lstStyle/>
              <a:p>
                <a:pPr>
                  <a:defRPr sz="1075" b="0" i="0" u="none" strike="noStrike" baseline="0">
                    <a:solidFill>
                      <a:srgbClr val="000000"/>
                    </a:solidFill>
                    <a:latin typeface="Arial"/>
                    <a:ea typeface="Arial"/>
                    <a:cs typeface="Arial"/>
                  </a:defRPr>
                </a:pPr>
                <a:r>
                  <a:rPr lang="en-US" b="0"/>
                  <a:t>Impact</a:t>
                </a:r>
              </a:p>
            </c:rich>
          </c:tx>
          <c:layout>
            <c:manualLayout>
              <c:xMode val="edge"/>
              <c:yMode val="edge"/>
              <c:x val="0.49530957910836687"/>
              <c:y val="0.9322035491832176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1" i="0" u="none" strike="noStrike" baseline="0">
                <a:solidFill>
                  <a:srgbClr val="000000"/>
                </a:solidFill>
                <a:latin typeface="Arial"/>
                <a:ea typeface="Arial"/>
                <a:cs typeface="Arial"/>
              </a:defRPr>
            </a:pPr>
            <a:endParaRPr lang="en-US"/>
          </a:p>
        </c:txPr>
        <c:crossAx val="176473984"/>
        <c:crosses val="autoZero"/>
        <c:crossBetween val="midCat"/>
      </c:valAx>
      <c:valAx>
        <c:axId val="176473984"/>
        <c:scaling>
          <c:orientation val="minMax"/>
          <c:max val="6"/>
          <c:min val="0"/>
        </c:scaling>
        <c:delete val="0"/>
        <c:axPos val="l"/>
        <c:majorGridlines>
          <c:spPr>
            <a:ln w="3175">
              <a:solidFill>
                <a:srgbClr val="000000"/>
              </a:solidFill>
              <a:prstDash val="sysDash"/>
            </a:ln>
          </c:spPr>
        </c:majorGridlines>
        <c:title>
          <c:tx>
            <c:rich>
              <a:bodyPr/>
              <a:lstStyle/>
              <a:p>
                <a:pPr>
                  <a:defRPr sz="1075" b="0" i="0" u="none" strike="noStrike" baseline="0">
                    <a:solidFill>
                      <a:srgbClr val="000000"/>
                    </a:solidFill>
                    <a:latin typeface="Arial"/>
                    <a:ea typeface="Arial"/>
                    <a:cs typeface="Arial"/>
                  </a:defRPr>
                </a:pPr>
                <a:r>
                  <a:rPr lang="en-US" b="0"/>
                  <a:t>Likelihood</a:t>
                </a:r>
              </a:p>
            </c:rich>
          </c:tx>
          <c:layout>
            <c:manualLayout>
              <c:xMode val="edge"/>
              <c:yMode val="edge"/>
              <c:x val="3.1895050888423121E-2"/>
              <c:y val="0.368038547420378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75" b="1" i="0" u="none" strike="noStrike" baseline="0">
                <a:solidFill>
                  <a:srgbClr val="000000"/>
                </a:solidFill>
                <a:latin typeface="Arial"/>
                <a:ea typeface="Arial"/>
                <a:cs typeface="Arial"/>
              </a:defRPr>
            </a:pPr>
            <a:endParaRPr lang="en-US"/>
          </a:p>
        </c:txPr>
        <c:crossAx val="176472064"/>
        <c:crosses val="autoZero"/>
        <c:crossBetween val="midCat"/>
      </c:valAx>
      <c:spPr>
        <a:gradFill rotWithShape="0">
          <a:gsLst>
            <a:gs pos="75000">
              <a:srgbClr val="FF9900">
                <a:alpha val="40000"/>
              </a:srgbClr>
            </a:gs>
            <a:gs pos="25000">
              <a:srgbClr val="00FF00">
                <a:alpha val="40000"/>
              </a:srgbClr>
            </a:gs>
            <a:gs pos="50000">
              <a:srgbClr val="FFFF00">
                <a:alpha val="40000"/>
              </a:srgbClr>
            </a:gs>
            <a:gs pos="0">
              <a:srgbClr val="00B0F0">
                <a:alpha val="40000"/>
              </a:srgbClr>
            </a:gs>
            <a:gs pos="100000">
              <a:srgbClr xmlns:mc="http://schemas.openxmlformats.org/markup-compatibility/2006" xmlns:a14="http://schemas.microsoft.com/office/drawing/2010/main" val="FF0000" mc:Ignorable="a14" a14:legacySpreadsheetColorIndex="10">
                <a:alpha val="40000"/>
              </a:srgbClr>
            </a:gs>
          </a:gsLst>
          <a:lin ang="18900000" scaled="1"/>
        </a:gradFill>
        <a:ln w="12700">
          <a:solidFill>
            <a:srgbClr val="808080"/>
          </a:solidFill>
          <a:prstDash val="solid"/>
        </a:ln>
      </c:spPr>
    </c:plotArea>
    <c:plotVisOnly val="1"/>
    <c:dispBlanksAs val="gap"/>
    <c:showDLblsOverMax val="0"/>
  </c:chart>
  <c:spPr>
    <a:solidFill>
      <a:schemeClr val="bg1"/>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en-US" sz="1050"/>
              <a:t>Analysis of Risks</a:t>
            </a:r>
            <a:r>
              <a:rPr lang="en-US" sz="1050" baseline="0"/>
              <a:t> by Category and Gross Risk Score (GRS)</a:t>
            </a:r>
            <a:endParaRPr lang="en-US" sz="1050"/>
          </a:p>
        </c:rich>
      </c:tx>
      <c:layout>
        <c:manualLayout>
          <c:xMode val="edge"/>
          <c:yMode val="edge"/>
          <c:x val="0.22753342765003737"/>
          <c:y val="4.7899236059179749E-2"/>
        </c:manualLayout>
      </c:layout>
      <c:overlay val="0"/>
      <c:spPr>
        <a:noFill/>
        <a:ln w="25400">
          <a:noFill/>
        </a:ln>
      </c:spPr>
    </c:title>
    <c:autoTitleDeleted val="0"/>
    <c:view3D>
      <c:rotX val="0"/>
      <c:hPercent val="135"/>
      <c:rotY val="0"/>
      <c:depthPercent val="100"/>
      <c:rAngAx val="1"/>
    </c:view3D>
    <c:floor>
      <c:thickness val="0"/>
      <c:spPr>
        <a:solidFill>
          <a:srgbClr val="C0C0C0"/>
        </a:solidFill>
        <a:ln w="3175">
          <a:solidFill>
            <a:srgbClr val="000000"/>
          </a:solidFill>
          <a:prstDash val="solid"/>
        </a:ln>
      </c:spPr>
    </c:floor>
    <c:sideWall>
      <c:thickness val="0"/>
      <c:spPr>
        <a:solidFill>
          <a:schemeClr val="bg1">
            <a:lumMod val="95000"/>
          </a:schemeClr>
        </a:solidFill>
        <a:ln w="3175">
          <a:solidFill>
            <a:schemeClr val="bg1">
              <a:lumMod val="85000"/>
            </a:schemeClr>
          </a:solidFill>
          <a:prstDash val="solid"/>
        </a:ln>
      </c:spPr>
    </c:sideWall>
    <c:backWall>
      <c:thickness val="0"/>
      <c:spPr>
        <a:solidFill>
          <a:schemeClr val="bg1">
            <a:lumMod val="95000"/>
          </a:schemeClr>
        </a:solidFill>
        <a:ln w="3175">
          <a:solidFill>
            <a:schemeClr val="bg1">
              <a:lumMod val="85000"/>
            </a:schemeClr>
          </a:solidFill>
          <a:prstDash val="solid"/>
        </a:ln>
      </c:spPr>
    </c:backWall>
    <c:plotArea>
      <c:layout>
        <c:manualLayout>
          <c:layoutTarget val="inner"/>
          <c:xMode val="edge"/>
          <c:yMode val="edge"/>
          <c:x val="0.19099821006240669"/>
          <c:y val="0.15555506678983563"/>
          <c:w val="0.78495379098739415"/>
          <c:h val="0.64067566973122769"/>
        </c:manualLayout>
      </c:layout>
      <c:bar3DChart>
        <c:barDir val="bar"/>
        <c:grouping val="stacked"/>
        <c:varyColors val="0"/>
        <c:ser>
          <c:idx val="0"/>
          <c:order val="0"/>
          <c:spPr>
            <a:solidFill>
              <a:srgbClr val="FF0000"/>
            </a:solidFill>
            <a:ln w="12700">
              <a:noFill/>
              <a:prstDash val="solid"/>
            </a:ln>
          </c:spPr>
          <c:invertIfNegative val="0"/>
          <c:cat>
            <c:strRef>
              <c:f>'Source of Risk'!$K$4:$N$4</c:f>
              <c:strCache>
                <c:ptCount val="4"/>
                <c:pt idx="0">
                  <c:v>Category</c:v>
                </c:pt>
                <c:pt idx="1">
                  <c:v>GRS &gt;= 15</c:v>
                </c:pt>
                <c:pt idx="2">
                  <c:v>GRS &gt;= 10</c:v>
                </c:pt>
                <c:pt idx="3">
                  <c:v>GRS &gt;= 7</c:v>
                </c:pt>
              </c:strCache>
            </c:strRef>
          </c:cat>
          <c:val>
            <c:numRef>
              <c:f>'Source of Risk'!$O$4</c:f>
              <c:numCache>
                <c:formatCode>General</c:formatCode>
                <c:ptCount val="1"/>
                <c:pt idx="0">
                  <c:v>0</c:v>
                </c:pt>
              </c:numCache>
            </c:numRef>
          </c:val>
          <c:extLst>
            <c:ext xmlns:c16="http://schemas.microsoft.com/office/drawing/2014/chart" uri="{C3380CC4-5D6E-409C-BE32-E72D297353CC}">
              <c16:uniqueId val="{00000000-8083-4E61-AFAE-19BC9D09FBF2}"/>
            </c:ext>
          </c:extLst>
        </c:ser>
        <c:dLbls>
          <c:showLegendKey val="0"/>
          <c:showVal val="0"/>
          <c:showCatName val="0"/>
          <c:showSerName val="0"/>
          <c:showPercent val="0"/>
          <c:showBubbleSize val="0"/>
        </c:dLbls>
        <c:gapWidth val="50"/>
        <c:gapDepth val="100"/>
        <c:shape val="box"/>
        <c:axId val="177200128"/>
        <c:axId val="177206400"/>
        <c:axId val="0"/>
      </c:bar3DChart>
      <c:catAx>
        <c:axId val="177200128"/>
        <c:scaling>
          <c:orientation val="minMax"/>
        </c:scaling>
        <c:delete val="0"/>
        <c:axPos val="l"/>
        <c:majorGridlines>
          <c:spPr>
            <a:ln>
              <a:solidFill>
                <a:schemeClr val="bg1">
                  <a:lumMod val="85000"/>
                </a:schemeClr>
              </a:solidFill>
            </a:ln>
          </c:spPr>
        </c:majorGridlines>
        <c:title>
          <c:tx>
            <c:rich>
              <a:bodyPr rot="-5400000" vert="horz"/>
              <a:lstStyle/>
              <a:p>
                <a:pPr>
                  <a:defRPr sz="900" b="1"/>
                </a:pPr>
                <a:r>
                  <a:rPr lang="en-US" sz="900" b="1"/>
                  <a:t>Category</a:t>
                </a:r>
              </a:p>
            </c:rich>
          </c:tx>
          <c:layout>
            <c:manualLayout>
              <c:xMode val="edge"/>
              <c:yMode val="edge"/>
              <c:x val="5.5955528244994801E-3"/>
              <c:y val="0.41665836413305479"/>
            </c:manualLayout>
          </c:layout>
          <c:overlay val="0"/>
        </c:title>
        <c:numFmt formatCode="General" sourceLinked="1"/>
        <c:majorTickMark val="out"/>
        <c:minorTickMark val="none"/>
        <c:tickLblPos val="low"/>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77206400"/>
        <c:crosses val="autoZero"/>
        <c:auto val="1"/>
        <c:lblAlgn val="ctr"/>
        <c:lblOffset val="100"/>
        <c:tickLblSkip val="1"/>
        <c:tickMarkSkip val="1"/>
        <c:noMultiLvlLbl val="0"/>
      </c:catAx>
      <c:valAx>
        <c:axId val="177206400"/>
        <c:scaling>
          <c:orientation val="minMax"/>
        </c:scaling>
        <c:delete val="0"/>
        <c:axPos val="b"/>
        <c:majorGridlines>
          <c:spPr>
            <a:ln>
              <a:solidFill>
                <a:schemeClr val="bg1">
                  <a:lumMod val="85000"/>
                </a:schemeClr>
              </a:solidFill>
            </a:ln>
          </c:spPr>
        </c:majorGridlines>
        <c:title>
          <c:tx>
            <c:rich>
              <a:bodyPr/>
              <a:lstStyle/>
              <a:p>
                <a:pPr>
                  <a:defRPr sz="900" b="1"/>
                </a:pPr>
                <a:r>
                  <a:rPr lang="en-US" sz="900" b="1"/>
                  <a:t>Number of Risks</a:t>
                </a:r>
              </a:p>
            </c:rich>
          </c:tx>
          <c:overlay val="0"/>
        </c:title>
        <c:numFmt formatCode="General" sourceLinked="1"/>
        <c:majorTickMark val="out"/>
        <c:minorTickMark val="out"/>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77200128"/>
        <c:crosses val="autoZero"/>
        <c:crossBetween val="between"/>
        <c:majorUnit val="1"/>
      </c:valAx>
      <c:spPr>
        <a:noFill/>
        <a:ln w="25400">
          <a:noFill/>
        </a:ln>
      </c:spPr>
    </c:plotArea>
    <c:legend>
      <c:legendPos val="b"/>
      <c:overlay val="0"/>
      <c:spPr>
        <a:no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ysClr val="window" lastClr="FFFFFF"/>
    </a:solidFill>
    <a:ln w="3175">
      <a:solidFill>
        <a:sysClr val="windowText" lastClr="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178C-492C-B319-5E17005F17BF}"/>
              </c:ext>
            </c:extLst>
          </c:dPt>
          <c:dPt>
            <c:idx val="1"/>
            <c:invertIfNegative val="0"/>
            <c:bubble3D val="0"/>
            <c:extLst>
              <c:ext xmlns:c16="http://schemas.microsoft.com/office/drawing/2014/chart" uri="{C3380CC4-5D6E-409C-BE32-E72D297353CC}">
                <c16:uniqueId val="{00000001-178C-492C-B319-5E17005F17BF}"/>
              </c:ext>
            </c:extLst>
          </c:dPt>
          <c:dPt>
            <c:idx val="2"/>
            <c:invertIfNegative val="0"/>
            <c:bubble3D val="0"/>
            <c:extLst>
              <c:ext xmlns:c16="http://schemas.microsoft.com/office/drawing/2014/chart" uri="{C3380CC4-5D6E-409C-BE32-E72D297353CC}">
                <c16:uniqueId val="{00000002-178C-492C-B319-5E17005F17BF}"/>
              </c:ext>
            </c:extLst>
          </c:dPt>
          <c:dPt>
            <c:idx val="3"/>
            <c:invertIfNegative val="0"/>
            <c:bubble3D val="0"/>
            <c:extLst>
              <c:ext xmlns:c16="http://schemas.microsoft.com/office/drawing/2014/chart" uri="{C3380CC4-5D6E-409C-BE32-E72D297353CC}">
                <c16:uniqueId val="{00000003-178C-492C-B319-5E17005F17BF}"/>
              </c:ext>
            </c:extLst>
          </c:dPt>
          <c:dPt>
            <c:idx val="4"/>
            <c:invertIfNegative val="0"/>
            <c:bubble3D val="0"/>
            <c:extLst>
              <c:ext xmlns:c16="http://schemas.microsoft.com/office/drawing/2014/chart" uri="{C3380CC4-5D6E-409C-BE32-E72D297353CC}">
                <c16:uniqueId val="{00000004-178C-492C-B319-5E17005F17BF}"/>
              </c:ext>
            </c:extLst>
          </c:dPt>
          <c:dPt>
            <c:idx val="5"/>
            <c:invertIfNegative val="0"/>
            <c:bubble3D val="0"/>
            <c:extLst>
              <c:ext xmlns:c16="http://schemas.microsoft.com/office/drawing/2014/chart" uri="{C3380CC4-5D6E-409C-BE32-E72D297353CC}">
                <c16:uniqueId val="{00000005-178C-492C-B319-5E17005F17BF}"/>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78C-492C-B319-5E17005F17BF}"/>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178C-492C-B319-5E17005F17BF}"/>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178C-492C-B319-5E17005F17BF}"/>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178C-492C-B319-5E17005F17BF}"/>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178C-492C-B319-5E17005F17BF}"/>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178C-492C-B319-5E17005F17B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178C-492C-B319-5E17005F17BF}"/>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178C-492C-B319-5E17005F17BF}"/>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178C-492C-B319-5E17005F17B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178C-492C-B319-5E17005F17BF}"/>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178C-492C-B319-5E17005F17BF}"/>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178C-492C-B319-5E17005F17B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178C-492C-B319-5E17005F17BF}"/>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178C-492C-B319-5E17005F17BF}"/>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178C-492C-B319-5E17005F17B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178C-492C-B319-5E17005F17BF}"/>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178C-492C-B319-5E17005F17BF}"/>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178C-492C-B319-5E17005F17BF}"/>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178C-492C-B319-5E17005F17BF}"/>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178C-492C-B319-5E17005F17BF}"/>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178C-492C-B319-5E17005F17BF}"/>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178C-492C-B319-5E17005F17BF}"/>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178C-492C-B319-5E17005F17BF}"/>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178C-492C-B319-5E17005F17BF}"/>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178C-492C-B319-5E17005F17B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178C-492C-B319-5E17005F17B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178C-492C-B319-5E17005F17BF}"/>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178C-492C-B319-5E17005F17BF}"/>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178C-492C-B319-5E17005F17BF}"/>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178C-492C-B319-5E17005F17BF}"/>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178C-492C-B319-5E17005F17B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178C-492C-B319-5E17005F17B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178C-492C-B319-5E17005F17BF}"/>
            </c:ext>
          </c:extLst>
        </c:ser>
        <c:dLbls>
          <c:showLegendKey val="0"/>
          <c:showVal val="0"/>
          <c:showCatName val="0"/>
          <c:showSerName val="0"/>
          <c:showPercent val="0"/>
          <c:showBubbleSize val="0"/>
        </c:dLbls>
        <c:gapWidth val="0"/>
        <c:overlap val="100"/>
        <c:axId val="179924992"/>
        <c:axId val="17992691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178C-492C-B319-5E17005F17BF}"/>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(X)'!$K$5</c:f>
              <c:numCache>
                <c:formatCode>[$-1010409]General</c:formatCode>
                <c:ptCount val="1"/>
                <c:pt idx="0">
                  <c:v>1</c:v>
                </c:pt>
              </c:numCache>
            </c:numRef>
          </c:xVal>
          <c:yVal>
            <c:numRef>
              <c:f>'IP (X)'!$K$6</c:f>
              <c:numCache>
                <c:formatCode>[$-1010409]General</c:formatCode>
                <c:ptCount val="1"/>
                <c:pt idx="0">
                  <c:v>0.5</c:v>
                </c:pt>
              </c:numCache>
            </c:numRef>
          </c:yVal>
          <c:smooth val="0"/>
          <c:extLst>
            <c:ext xmlns:c16="http://schemas.microsoft.com/office/drawing/2014/chart" uri="{C3380CC4-5D6E-409C-BE32-E72D297353CC}">
              <c16:uniqueId val="{00000049-178C-492C-B319-5E17005F17BF}"/>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178C-492C-B319-5E17005F17BF}"/>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(X)'!$L$5</c:f>
              <c:numCache>
                <c:formatCode>[$-1010409]General</c:formatCode>
                <c:ptCount val="1"/>
                <c:pt idx="0">
                  <c:v>1</c:v>
                </c:pt>
              </c:numCache>
            </c:numRef>
          </c:xVal>
          <c:yVal>
            <c:numRef>
              <c:f>'IP (X)'!$L$6</c:f>
              <c:numCache>
                <c:formatCode>[$-1010409]General</c:formatCode>
                <c:ptCount val="1"/>
                <c:pt idx="0">
                  <c:v>0.5</c:v>
                </c:pt>
              </c:numCache>
            </c:numRef>
          </c:yVal>
          <c:smooth val="0"/>
          <c:extLst>
            <c:ext xmlns:c16="http://schemas.microsoft.com/office/drawing/2014/chart" uri="{C3380CC4-5D6E-409C-BE32-E72D297353CC}">
              <c16:uniqueId val="{0000004B-178C-492C-B319-5E17005F17BF}"/>
            </c:ext>
          </c:extLst>
        </c:ser>
        <c:dLbls>
          <c:showLegendKey val="0"/>
          <c:showVal val="0"/>
          <c:showCatName val="0"/>
          <c:showSerName val="0"/>
          <c:showPercent val="0"/>
          <c:showBubbleSize val="0"/>
        </c:dLbls>
        <c:axId val="179945472"/>
        <c:axId val="179947008"/>
      </c:scatterChart>
      <c:catAx>
        <c:axId val="17992499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79926912"/>
        <c:crosses val="autoZero"/>
        <c:auto val="1"/>
        <c:lblAlgn val="ctr"/>
        <c:lblOffset val="100"/>
        <c:noMultiLvlLbl val="0"/>
      </c:catAx>
      <c:valAx>
        <c:axId val="17992691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79924992"/>
        <c:crosses val="autoZero"/>
        <c:crossBetween val="between"/>
        <c:majorUnit val="1"/>
      </c:valAx>
      <c:valAx>
        <c:axId val="179945472"/>
        <c:scaling>
          <c:orientation val="minMax"/>
        </c:scaling>
        <c:delete val="1"/>
        <c:axPos val="b"/>
        <c:numFmt formatCode="[$-1010409]General" sourceLinked="1"/>
        <c:majorTickMark val="out"/>
        <c:minorTickMark val="none"/>
        <c:tickLblPos val="nextTo"/>
        <c:crossAx val="179947008"/>
        <c:crosses val="autoZero"/>
        <c:crossBetween val="midCat"/>
      </c:valAx>
      <c:valAx>
        <c:axId val="179947008"/>
        <c:scaling>
          <c:orientation val="minMax"/>
          <c:max val="5"/>
        </c:scaling>
        <c:delete val="1"/>
        <c:axPos val="r"/>
        <c:numFmt formatCode="[$-1010409]General" sourceLinked="1"/>
        <c:majorTickMark val="out"/>
        <c:minorTickMark val="none"/>
        <c:tickLblPos val="nextTo"/>
        <c:crossAx val="179945472"/>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0B21-41A4-B86E-79100D8B6307}"/>
              </c:ext>
            </c:extLst>
          </c:dPt>
          <c:dPt>
            <c:idx val="1"/>
            <c:invertIfNegative val="0"/>
            <c:bubble3D val="0"/>
            <c:extLst>
              <c:ext xmlns:c16="http://schemas.microsoft.com/office/drawing/2014/chart" uri="{C3380CC4-5D6E-409C-BE32-E72D297353CC}">
                <c16:uniqueId val="{00000001-0B21-41A4-B86E-79100D8B6307}"/>
              </c:ext>
            </c:extLst>
          </c:dPt>
          <c:dPt>
            <c:idx val="2"/>
            <c:invertIfNegative val="0"/>
            <c:bubble3D val="0"/>
            <c:extLst>
              <c:ext xmlns:c16="http://schemas.microsoft.com/office/drawing/2014/chart" uri="{C3380CC4-5D6E-409C-BE32-E72D297353CC}">
                <c16:uniqueId val="{00000002-0B21-41A4-B86E-79100D8B6307}"/>
              </c:ext>
            </c:extLst>
          </c:dPt>
          <c:dPt>
            <c:idx val="3"/>
            <c:invertIfNegative val="0"/>
            <c:bubble3D val="0"/>
            <c:extLst>
              <c:ext xmlns:c16="http://schemas.microsoft.com/office/drawing/2014/chart" uri="{C3380CC4-5D6E-409C-BE32-E72D297353CC}">
                <c16:uniqueId val="{00000003-0B21-41A4-B86E-79100D8B6307}"/>
              </c:ext>
            </c:extLst>
          </c:dPt>
          <c:dPt>
            <c:idx val="4"/>
            <c:invertIfNegative val="0"/>
            <c:bubble3D val="0"/>
            <c:extLst>
              <c:ext xmlns:c16="http://schemas.microsoft.com/office/drawing/2014/chart" uri="{C3380CC4-5D6E-409C-BE32-E72D297353CC}">
                <c16:uniqueId val="{00000004-0B21-41A4-B86E-79100D8B6307}"/>
              </c:ext>
            </c:extLst>
          </c:dPt>
          <c:dPt>
            <c:idx val="5"/>
            <c:invertIfNegative val="0"/>
            <c:bubble3D val="0"/>
            <c:extLst>
              <c:ext xmlns:c16="http://schemas.microsoft.com/office/drawing/2014/chart" uri="{C3380CC4-5D6E-409C-BE32-E72D297353CC}">
                <c16:uniqueId val="{00000005-0B21-41A4-B86E-79100D8B6307}"/>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0B21-41A4-B86E-79100D8B6307}"/>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0B21-41A4-B86E-79100D8B6307}"/>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0B21-41A4-B86E-79100D8B6307}"/>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0B21-41A4-B86E-79100D8B6307}"/>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0B21-41A4-B86E-79100D8B6307}"/>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0B21-41A4-B86E-79100D8B6307}"/>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0B21-41A4-B86E-79100D8B6307}"/>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0B21-41A4-B86E-79100D8B6307}"/>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0B21-41A4-B86E-79100D8B6307}"/>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0B21-41A4-B86E-79100D8B6307}"/>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0B21-41A4-B86E-79100D8B6307}"/>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0B21-41A4-B86E-79100D8B6307}"/>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B21-41A4-B86E-79100D8B6307}"/>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0B21-41A4-B86E-79100D8B6307}"/>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0B21-41A4-B86E-79100D8B6307}"/>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0B21-41A4-B86E-79100D8B6307}"/>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0B21-41A4-B86E-79100D8B6307}"/>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0B21-41A4-B86E-79100D8B6307}"/>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0B21-41A4-B86E-79100D8B6307}"/>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0B21-41A4-B86E-79100D8B6307}"/>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B21-41A4-B86E-79100D8B6307}"/>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0B21-41A4-B86E-79100D8B6307}"/>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0B21-41A4-B86E-79100D8B6307}"/>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0B21-41A4-B86E-79100D8B6307}"/>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0B21-41A4-B86E-79100D8B6307}"/>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0B21-41A4-B86E-79100D8B6307}"/>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0B21-41A4-B86E-79100D8B6307}"/>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0B21-41A4-B86E-79100D8B6307}"/>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0B21-41A4-B86E-79100D8B6307}"/>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0B21-41A4-B86E-79100D8B6307}"/>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0B21-41A4-B86E-79100D8B6307}"/>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0B21-41A4-B86E-79100D8B6307}"/>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0B21-41A4-B86E-79100D8B6307}"/>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0B21-41A4-B86E-79100D8B6307}"/>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0B21-41A4-B86E-79100D8B6307}"/>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0B21-41A4-B86E-79100D8B6307}"/>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0B21-41A4-B86E-79100D8B6307}"/>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0B21-41A4-B86E-79100D8B6307}"/>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0B21-41A4-B86E-79100D8B6307}"/>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0B21-41A4-B86E-79100D8B6307}"/>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0B21-41A4-B86E-79100D8B6307}"/>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0B21-41A4-B86E-79100D8B6307}"/>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0B21-41A4-B86E-79100D8B6307}"/>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0B21-41A4-B86E-79100D8B6307}"/>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0B21-41A4-B86E-79100D8B6307}"/>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0B21-41A4-B86E-79100D8B6307}"/>
            </c:ext>
          </c:extLst>
        </c:ser>
        <c:dLbls>
          <c:showLegendKey val="0"/>
          <c:showVal val="0"/>
          <c:showCatName val="0"/>
          <c:showSerName val="0"/>
          <c:showPercent val="0"/>
          <c:showBubbleSize val="0"/>
        </c:dLbls>
        <c:gapWidth val="0"/>
        <c:overlap val="100"/>
        <c:axId val="184653312"/>
        <c:axId val="18465523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0B21-41A4-B86E-79100D8B6307}"/>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(X)'!$R$5</c:f>
              <c:numCache>
                <c:formatCode>[$-1010409]General</c:formatCode>
                <c:ptCount val="1"/>
                <c:pt idx="0">
                  <c:v>1</c:v>
                </c:pt>
              </c:numCache>
            </c:numRef>
          </c:xVal>
          <c:yVal>
            <c:numRef>
              <c:f>'IP (X)'!$R$6</c:f>
              <c:numCache>
                <c:formatCode>[$-1010409]General</c:formatCode>
                <c:ptCount val="1"/>
                <c:pt idx="0">
                  <c:v>0.5</c:v>
                </c:pt>
              </c:numCache>
            </c:numRef>
          </c:yVal>
          <c:smooth val="0"/>
          <c:extLst>
            <c:ext xmlns:c16="http://schemas.microsoft.com/office/drawing/2014/chart" uri="{C3380CC4-5D6E-409C-BE32-E72D297353CC}">
              <c16:uniqueId val="{00000049-0B21-41A4-B86E-79100D8B6307}"/>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0B21-41A4-B86E-79100D8B6307}"/>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(X)'!$S$5</c:f>
              <c:numCache>
                <c:formatCode>[$-1010409]General</c:formatCode>
                <c:ptCount val="1"/>
                <c:pt idx="0">
                  <c:v>1</c:v>
                </c:pt>
              </c:numCache>
            </c:numRef>
          </c:xVal>
          <c:yVal>
            <c:numRef>
              <c:f>'IP (X)'!$S$6</c:f>
              <c:numCache>
                <c:formatCode>[$-1010409]General</c:formatCode>
                <c:ptCount val="1"/>
                <c:pt idx="0">
                  <c:v>0.5</c:v>
                </c:pt>
              </c:numCache>
            </c:numRef>
          </c:yVal>
          <c:smooth val="0"/>
          <c:extLst>
            <c:ext xmlns:c16="http://schemas.microsoft.com/office/drawing/2014/chart" uri="{C3380CC4-5D6E-409C-BE32-E72D297353CC}">
              <c16:uniqueId val="{0000004B-0B21-41A4-B86E-79100D8B6307}"/>
            </c:ext>
          </c:extLst>
        </c:ser>
        <c:dLbls>
          <c:showLegendKey val="0"/>
          <c:showVal val="0"/>
          <c:showCatName val="0"/>
          <c:showSerName val="0"/>
          <c:showPercent val="0"/>
          <c:showBubbleSize val="0"/>
        </c:dLbls>
        <c:axId val="184665600"/>
        <c:axId val="184667136"/>
      </c:scatterChart>
      <c:catAx>
        <c:axId val="18465331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84655232"/>
        <c:crosses val="autoZero"/>
        <c:auto val="1"/>
        <c:lblAlgn val="ctr"/>
        <c:lblOffset val="100"/>
        <c:noMultiLvlLbl val="0"/>
      </c:catAx>
      <c:valAx>
        <c:axId val="18465523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84653312"/>
        <c:crosses val="autoZero"/>
        <c:crossBetween val="between"/>
        <c:majorUnit val="1"/>
      </c:valAx>
      <c:valAx>
        <c:axId val="184665600"/>
        <c:scaling>
          <c:orientation val="minMax"/>
        </c:scaling>
        <c:delete val="1"/>
        <c:axPos val="b"/>
        <c:numFmt formatCode="[$-1010409]General" sourceLinked="1"/>
        <c:majorTickMark val="out"/>
        <c:minorTickMark val="none"/>
        <c:tickLblPos val="nextTo"/>
        <c:crossAx val="184667136"/>
        <c:crosses val="autoZero"/>
        <c:crossBetween val="midCat"/>
      </c:valAx>
      <c:valAx>
        <c:axId val="184667136"/>
        <c:scaling>
          <c:orientation val="minMax"/>
          <c:max val="5"/>
        </c:scaling>
        <c:delete val="1"/>
        <c:axPos val="r"/>
        <c:numFmt formatCode="[$-1010409]General" sourceLinked="1"/>
        <c:majorTickMark val="out"/>
        <c:minorTickMark val="none"/>
        <c:tickLblPos val="nextTo"/>
        <c:crossAx val="184665600"/>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178C-492C-B319-5E17005F17BF}"/>
              </c:ext>
            </c:extLst>
          </c:dPt>
          <c:dPt>
            <c:idx val="1"/>
            <c:invertIfNegative val="0"/>
            <c:bubble3D val="0"/>
            <c:extLst>
              <c:ext xmlns:c16="http://schemas.microsoft.com/office/drawing/2014/chart" uri="{C3380CC4-5D6E-409C-BE32-E72D297353CC}">
                <c16:uniqueId val="{00000001-178C-492C-B319-5E17005F17BF}"/>
              </c:ext>
            </c:extLst>
          </c:dPt>
          <c:dPt>
            <c:idx val="2"/>
            <c:invertIfNegative val="0"/>
            <c:bubble3D val="0"/>
            <c:extLst>
              <c:ext xmlns:c16="http://schemas.microsoft.com/office/drawing/2014/chart" uri="{C3380CC4-5D6E-409C-BE32-E72D297353CC}">
                <c16:uniqueId val="{00000002-178C-492C-B319-5E17005F17BF}"/>
              </c:ext>
            </c:extLst>
          </c:dPt>
          <c:dPt>
            <c:idx val="3"/>
            <c:invertIfNegative val="0"/>
            <c:bubble3D val="0"/>
            <c:extLst>
              <c:ext xmlns:c16="http://schemas.microsoft.com/office/drawing/2014/chart" uri="{C3380CC4-5D6E-409C-BE32-E72D297353CC}">
                <c16:uniqueId val="{00000003-178C-492C-B319-5E17005F17BF}"/>
              </c:ext>
            </c:extLst>
          </c:dPt>
          <c:dPt>
            <c:idx val="4"/>
            <c:invertIfNegative val="0"/>
            <c:bubble3D val="0"/>
            <c:extLst>
              <c:ext xmlns:c16="http://schemas.microsoft.com/office/drawing/2014/chart" uri="{C3380CC4-5D6E-409C-BE32-E72D297353CC}">
                <c16:uniqueId val="{00000004-178C-492C-B319-5E17005F17BF}"/>
              </c:ext>
            </c:extLst>
          </c:dPt>
          <c:dPt>
            <c:idx val="5"/>
            <c:invertIfNegative val="0"/>
            <c:bubble3D val="0"/>
            <c:extLst>
              <c:ext xmlns:c16="http://schemas.microsoft.com/office/drawing/2014/chart" uri="{C3380CC4-5D6E-409C-BE32-E72D297353CC}">
                <c16:uniqueId val="{00000005-178C-492C-B319-5E17005F17BF}"/>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78C-492C-B319-5E17005F17BF}"/>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178C-492C-B319-5E17005F17BF}"/>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178C-492C-B319-5E17005F17BF}"/>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178C-492C-B319-5E17005F17BF}"/>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178C-492C-B319-5E17005F17BF}"/>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178C-492C-B319-5E17005F17B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178C-492C-B319-5E17005F17BF}"/>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178C-492C-B319-5E17005F17BF}"/>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178C-492C-B319-5E17005F17B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178C-492C-B319-5E17005F17BF}"/>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178C-492C-B319-5E17005F17BF}"/>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178C-492C-B319-5E17005F17B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178C-492C-B319-5E17005F17BF}"/>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178C-492C-B319-5E17005F17BF}"/>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178C-492C-B319-5E17005F17B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178C-492C-B319-5E17005F17BF}"/>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178C-492C-B319-5E17005F17BF}"/>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178C-492C-B319-5E17005F17BF}"/>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178C-492C-B319-5E17005F17BF}"/>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178C-492C-B319-5E17005F17BF}"/>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178C-492C-B319-5E17005F17B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178C-492C-B319-5E17005F17BF}"/>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178C-492C-B319-5E17005F17BF}"/>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178C-492C-B319-5E17005F17BF}"/>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178C-492C-B319-5E17005F17BF}"/>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178C-492C-B319-5E17005F17B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178C-492C-B319-5E17005F17B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178C-492C-B319-5E17005F17BF}"/>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178C-492C-B319-5E17005F17BF}"/>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178C-492C-B319-5E17005F17BF}"/>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178C-492C-B319-5E17005F17BF}"/>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178C-492C-B319-5E17005F17B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178C-492C-B319-5E17005F17B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178C-492C-B319-5E17005F17BF}"/>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178C-492C-B319-5E17005F17B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178C-492C-B319-5E17005F17BF}"/>
            </c:ext>
          </c:extLst>
        </c:ser>
        <c:dLbls>
          <c:showLegendKey val="0"/>
          <c:showVal val="0"/>
          <c:showCatName val="0"/>
          <c:showSerName val="0"/>
          <c:showPercent val="0"/>
          <c:showBubbleSize val="0"/>
        </c:dLbls>
        <c:gapWidth val="0"/>
        <c:overlap val="100"/>
        <c:axId val="190102528"/>
        <c:axId val="190121088"/>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178C-492C-B319-5E17005F17BF}"/>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(X)'!$D$5</c:f>
              <c:numCache>
                <c:formatCode>[$-1010409]General</c:formatCode>
                <c:ptCount val="1"/>
                <c:pt idx="0">
                  <c:v>1</c:v>
                </c:pt>
              </c:numCache>
            </c:numRef>
          </c:xVal>
          <c:yVal>
            <c:numRef>
              <c:f>'IP (X)'!$D$6</c:f>
              <c:numCache>
                <c:formatCode>[$-1010409]General</c:formatCode>
                <c:ptCount val="1"/>
                <c:pt idx="0">
                  <c:v>0.5</c:v>
                </c:pt>
              </c:numCache>
            </c:numRef>
          </c:yVal>
          <c:smooth val="0"/>
          <c:extLst>
            <c:ext xmlns:c16="http://schemas.microsoft.com/office/drawing/2014/chart" uri="{C3380CC4-5D6E-409C-BE32-E72D297353CC}">
              <c16:uniqueId val="{00000049-178C-492C-B319-5E17005F17BF}"/>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178C-492C-B319-5E17005F17BF}"/>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(X)'!$E$5</c:f>
              <c:numCache>
                <c:formatCode>[$-1010409]General</c:formatCode>
                <c:ptCount val="1"/>
                <c:pt idx="0">
                  <c:v>1</c:v>
                </c:pt>
              </c:numCache>
            </c:numRef>
          </c:xVal>
          <c:yVal>
            <c:numRef>
              <c:f>'IP (X)'!$E$6</c:f>
              <c:numCache>
                <c:formatCode>[$-1010409]General</c:formatCode>
                <c:ptCount val="1"/>
                <c:pt idx="0">
                  <c:v>0.5</c:v>
                </c:pt>
              </c:numCache>
            </c:numRef>
          </c:yVal>
          <c:smooth val="0"/>
          <c:extLst>
            <c:ext xmlns:c16="http://schemas.microsoft.com/office/drawing/2014/chart" uri="{C3380CC4-5D6E-409C-BE32-E72D297353CC}">
              <c16:uniqueId val="{0000004B-178C-492C-B319-5E17005F17BF}"/>
            </c:ext>
          </c:extLst>
        </c:ser>
        <c:ser>
          <c:idx val="7"/>
          <c:order val="8"/>
          <c:yVal>
            <c:numRef>
              <c:f>'Risk Matrices'!$E$10</c:f>
              <c:numCache>
                <c:formatCode>[$-1010409]General</c:formatCode>
                <c:ptCount val="1"/>
                <c:pt idx="0">
                  <c:v>0</c:v>
                </c:pt>
              </c:numCache>
            </c:numRef>
          </c:yVal>
          <c:smooth val="0"/>
          <c:extLst>
            <c:ext xmlns:c16="http://schemas.microsoft.com/office/drawing/2014/chart" uri="{C3380CC4-5D6E-409C-BE32-E72D297353CC}">
              <c16:uniqueId val="{00000042-C752-45D5-9BD7-C7A3C6EB8380}"/>
            </c:ext>
          </c:extLst>
        </c:ser>
        <c:ser>
          <c:idx val="8"/>
          <c:order val="9"/>
          <c:yVal>
            <c:numRef>
              <c:f>'Risk Matrices'!$E$10</c:f>
              <c:numCache>
                <c:formatCode>[$-1010409]General</c:formatCode>
                <c:ptCount val="1"/>
                <c:pt idx="0">
                  <c:v>0</c:v>
                </c:pt>
              </c:numCache>
            </c:numRef>
          </c:yVal>
          <c:smooth val="0"/>
          <c:extLst>
            <c:ext xmlns:c16="http://schemas.microsoft.com/office/drawing/2014/chart" uri="{C3380CC4-5D6E-409C-BE32-E72D297353CC}">
              <c16:uniqueId val="{00000043-C752-45D5-9BD7-C7A3C6EB8380}"/>
            </c:ext>
          </c:extLst>
        </c:ser>
        <c:dLbls>
          <c:showLegendKey val="0"/>
          <c:showVal val="0"/>
          <c:showCatName val="0"/>
          <c:showSerName val="0"/>
          <c:showPercent val="0"/>
          <c:showBubbleSize val="0"/>
        </c:dLbls>
        <c:axId val="190123008"/>
        <c:axId val="190132992"/>
      </c:scatterChart>
      <c:catAx>
        <c:axId val="190102528"/>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90121088"/>
        <c:crosses val="autoZero"/>
        <c:auto val="1"/>
        <c:lblAlgn val="ctr"/>
        <c:lblOffset val="100"/>
        <c:noMultiLvlLbl val="0"/>
      </c:catAx>
      <c:valAx>
        <c:axId val="190121088"/>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90102528"/>
        <c:crosses val="autoZero"/>
        <c:crossBetween val="between"/>
        <c:majorUnit val="1"/>
      </c:valAx>
      <c:valAx>
        <c:axId val="190123008"/>
        <c:scaling>
          <c:orientation val="minMax"/>
        </c:scaling>
        <c:delete val="1"/>
        <c:axPos val="b"/>
        <c:numFmt formatCode="[$-1010409]General" sourceLinked="1"/>
        <c:majorTickMark val="out"/>
        <c:minorTickMark val="none"/>
        <c:tickLblPos val="nextTo"/>
        <c:crossAx val="190132992"/>
        <c:crosses val="autoZero"/>
        <c:crossBetween val="midCat"/>
      </c:valAx>
      <c:valAx>
        <c:axId val="190132992"/>
        <c:scaling>
          <c:orientation val="minMax"/>
          <c:max val="5"/>
        </c:scaling>
        <c:delete val="1"/>
        <c:axPos val="r"/>
        <c:numFmt formatCode="[$-1010409]General" sourceLinked="1"/>
        <c:majorTickMark val="out"/>
        <c:minorTickMark val="none"/>
        <c:tickLblPos val="nextTo"/>
        <c:crossAx val="190123008"/>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867F-4DEE-82CE-455C989C6C3D}"/>
              </c:ext>
            </c:extLst>
          </c:dPt>
          <c:dPt>
            <c:idx val="1"/>
            <c:invertIfNegative val="0"/>
            <c:bubble3D val="0"/>
            <c:extLst>
              <c:ext xmlns:c16="http://schemas.microsoft.com/office/drawing/2014/chart" uri="{C3380CC4-5D6E-409C-BE32-E72D297353CC}">
                <c16:uniqueId val="{00000001-867F-4DEE-82CE-455C989C6C3D}"/>
              </c:ext>
            </c:extLst>
          </c:dPt>
          <c:dPt>
            <c:idx val="2"/>
            <c:invertIfNegative val="0"/>
            <c:bubble3D val="0"/>
            <c:extLst>
              <c:ext xmlns:c16="http://schemas.microsoft.com/office/drawing/2014/chart" uri="{C3380CC4-5D6E-409C-BE32-E72D297353CC}">
                <c16:uniqueId val="{00000002-867F-4DEE-82CE-455C989C6C3D}"/>
              </c:ext>
            </c:extLst>
          </c:dPt>
          <c:dPt>
            <c:idx val="3"/>
            <c:invertIfNegative val="0"/>
            <c:bubble3D val="0"/>
            <c:extLst>
              <c:ext xmlns:c16="http://schemas.microsoft.com/office/drawing/2014/chart" uri="{C3380CC4-5D6E-409C-BE32-E72D297353CC}">
                <c16:uniqueId val="{00000003-867F-4DEE-82CE-455C989C6C3D}"/>
              </c:ext>
            </c:extLst>
          </c:dPt>
          <c:dPt>
            <c:idx val="4"/>
            <c:invertIfNegative val="0"/>
            <c:bubble3D val="0"/>
            <c:extLst>
              <c:ext xmlns:c16="http://schemas.microsoft.com/office/drawing/2014/chart" uri="{C3380CC4-5D6E-409C-BE32-E72D297353CC}">
                <c16:uniqueId val="{00000004-867F-4DEE-82CE-455C989C6C3D}"/>
              </c:ext>
            </c:extLst>
          </c:dPt>
          <c:dPt>
            <c:idx val="5"/>
            <c:invertIfNegative val="0"/>
            <c:bubble3D val="0"/>
            <c:extLst>
              <c:ext xmlns:c16="http://schemas.microsoft.com/office/drawing/2014/chart" uri="{C3380CC4-5D6E-409C-BE32-E72D297353CC}">
                <c16:uniqueId val="{00000005-867F-4DEE-82CE-455C989C6C3D}"/>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67F-4DEE-82CE-455C989C6C3D}"/>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867F-4DEE-82CE-455C989C6C3D}"/>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67F-4DEE-82CE-455C989C6C3D}"/>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67F-4DEE-82CE-455C989C6C3D}"/>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67F-4DEE-82CE-455C989C6C3D}"/>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867F-4DEE-82CE-455C989C6C3D}"/>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867F-4DEE-82CE-455C989C6C3D}"/>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867F-4DEE-82CE-455C989C6C3D}"/>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867F-4DEE-82CE-455C989C6C3D}"/>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867F-4DEE-82CE-455C989C6C3D}"/>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867F-4DEE-82CE-455C989C6C3D}"/>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867F-4DEE-82CE-455C989C6C3D}"/>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67F-4DEE-82CE-455C989C6C3D}"/>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867F-4DEE-82CE-455C989C6C3D}"/>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867F-4DEE-82CE-455C989C6C3D}"/>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867F-4DEE-82CE-455C989C6C3D}"/>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867F-4DEE-82CE-455C989C6C3D}"/>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867F-4DEE-82CE-455C989C6C3D}"/>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867F-4DEE-82CE-455C989C6C3D}"/>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867F-4DEE-82CE-455C989C6C3D}"/>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867F-4DEE-82CE-455C989C6C3D}"/>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867F-4DEE-82CE-455C989C6C3D}"/>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867F-4DEE-82CE-455C989C6C3D}"/>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867F-4DEE-82CE-455C989C6C3D}"/>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867F-4DEE-82CE-455C989C6C3D}"/>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867F-4DEE-82CE-455C989C6C3D}"/>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867F-4DEE-82CE-455C989C6C3D}"/>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867F-4DEE-82CE-455C989C6C3D}"/>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867F-4DEE-82CE-455C989C6C3D}"/>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867F-4DEE-82CE-455C989C6C3D}"/>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867F-4DEE-82CE-455C989C6C3D}"/>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867F-4DEE-82CE-455C989C6C3D}"/>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867F-4DEE-82CE-455C989C6C3D}"/>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867F-4DEE-82CE-455C989C6C3D}"/>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867F-4DEE-82CE-455C989C6C3D}"/>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867F-4DEE-82CE-455C989C6C3D}"/>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867F-4DEE-82CE-455C989C6C3D}"/>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867F-4DEE-82CE-455C989C6C3D}"/>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867F-4DEE-82CE-455C989C6C3D}"/>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867F-4DEE-82CE-455C989C6C3D}"/>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867F-4DEE-82CE-455C989C6C3D}"/>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867F-4DEE-82CE-455C989C6C3D}"/>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867F-4DEE-82CE-455C989C6C3D}"/>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867F-4DEE-82CE-455C989C6C3D}"/>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867F-4DEE-82CE-455C989C6C3D}"/>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867F-4DEE-82CE-455C989C6C3D}"/>
            </c:ext>
          </c:extLst>
        </c:ser>
        <c:dLbls>
          <c:showLegendKey val="0"/>
          <c:showVal val="0"/>
          <c:showCatName val="0"/>
          <c:showSerName val="0"/>
          <c:showPercent val="0"/>
          <c:showBubbleSize val="0"/>
        </c:dLbls>
        <c:gapWidth val="0"/>
        <c:overlap val="100"/>
        <c:axId val="179924992"/>
        <c:axId val="17992691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867F-4DEE-82CE-455C989C6C3D}"/>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execut'!$K$5</c:f>
              <c:numCache>
                <c:formatCode>[$-1010409]General</c:formatCode>
                <c:ptCount val="1"/>
                <c:pt idx="0">
                  <c:v>5</c:v>
                </c:pt>
              </c:numCache>
            </c:numRef>
          </c:xVal>
          <c:yVal>
            <c:numRef>
              <c:f>'IP (1) Process design or execut'!$K$6</c:f>
              <c:numCache>
                <c:formatCode>[$-1010409]General</c:formatCode>
                <c:ptCount val="1"/>
                <c:pt idx="0">
                  <c:v>3.5</c:v>
                </c:pt>
              </c:numCache>
            </c:numRef>
          </c:yVal>
          <c:smooth val="0"/>
          <c:extLst>
            <c:ext xmlns:c16="http://schemas.microsoft.com/office/drawing/2014/chart" uri="{C3380CC4-5D6E-409C-BE32-E72D297353CC}">
              <c16:uniqueId val="{00000049-867F-4DEE-82CE-455C989C6C3D}"/>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867F-4DEE-82CE-455C989C6C3D}"/>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execut'!$L$5</c:f>
              <c:numCache>
                <c:formatCode>[$-1010409]General</c:formatCode>
                <c:ptCount val="1"/>
                <c:pt idx="0">
                  <c:v>4</c:v>
                </c:pt>
              </c:numCache>
            </c:numRef>
          </c:xVal>
          <c:yVal>
            <c:numRef>
              <c:f>'IP (1) Process design or execut'!$L$6</c:f>
              <c:numCache>
                <c:formatCode>[$-1010409]General</c:formatCode>
                <c:ptCount val="1"/>
                <c:pt idx="0">
                  <c:v>3.5</c:v>
                </c:pt>
              </c:numCache>
            </c:numRef>
          </c:yVal>
          <c:smooth val="0"/>
          <c:extLst>
            <c:ext xmlns:c16="http://schemas.microsoft.com/office/drawing/2014/chart" uri="{C3380CC4-5D6E-409C-BE32-E72D297353CC}">
              <c16:uniqueId val="{0000004B-867F-4DEE-82CE-455C989C6C3D}"/>
            </c:ext>
          </c:extLst>
        </c:ser>
        <c:dLbls>
          <c:showLegendKey val="0"/>
          <c:showVal val="0"/>
          <c:showCatName val="0"/>
          <c:showSerName val="0"/>
          <c:showPercent val="0"/>
          <c:showBubbleSize val="0"/>
        </c:dLbls>
        <c:axId val="179945472"/>
        <c:axId val="179947008"/>
      </c:scatterChart>
      <c:catAx>
        <c:axId val="17992499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79926912"/>
        <c:crosses val="autoZero"/>
        <c:auto val="1"/>
        <c:lblAlgn val="ctr"/>
        <c:lblOffset val="100"/>
        <c:noMultiLvlLbl val="0"/>
      </c:catAx>
      <c:valAx>
        <c:axId val="17992691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79924992"/>
        <c:crosses val="autoZero"/>
        <c:crossBetween val="between"/>
        <c:majorUnit val="1"/>
      </c:valAx>
      <c:valAx>
        <c:axId val="179945472"/>
        <c:scaling>
          <c:orientation val="minMax"/>
        </c:scaling>
        <c:delete val="1"/>
        <c:axPos val="b"/>
        <c:numFmt formatCode="[$-1010409]General" sourceLinked="1"/>
        <c:majorTickMark val="out"/>
        <c:minorTickMark val="none"/>
        <c:tickLblPos val="nextTo"/>
        <c:crossAx val="179947008"/>
        <c:crosses val="autoZero"/>
        <c:crossBetween val="midCat"/>
      </c:valAx>
      <c:valAx>
        <c:axId val="179947008"/>
        <c:scaling>
          <c:orientation val="minMax"/>
          <c:max val="5"/>
        </c:scaling>
        <c:delete val="1"/>
        <c:axPos val="r"/>
        <c:numFmt formatCode="[$-1010409]General" sourceLinked="1"/>
        <c:majorTickMark val="out"/>
        <c:minorTickMark val="none"/>
        <c:tickLblPos val="nextTo"/>
        <c:crossAx val="179945472"/>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FFB7-4EF5-8BAC-0146A1579A14}"/>
              </c:ext>
            </c:extLst>
          </c:dPt>
          <c:dPt>
            <c:idx val="1"/>
            <c:invertIfNegative val="0"/>
            <c:bubble3D val="0"/>
            <c:extLst>
              <c:ext xmlns:c16="http://schemas.microsoft.com/office/drawing/2014/chart" uri="{C3380CC4-5D6E-409C-BE32-E72D297353CC}">
                <c16:uniqueId val="{00000001-FFB7-4EF5-8BAC-0146A1579A14}"/>
              </c:ext>
            </c:extLst>
          </c:dPt>
          <c:dPt>
            <c:idx val="2"/>
            <c:invertIfNegative val="0"/>
            <c:bubble3D val="0"/>
            <c:extLst>
              <c:ext xmlns:c16="http://schemas.microsoft.com/office/drawing/2014/chart" uri="{C3380CC4-5D6E-409C-BE32-E72D297353CC}">
                <c16:uniqueId val="{00000002-FFB7-4EF5-8BAC-0146A1579A14}"/>
              </c:ext>
            </c:extLst>
          </c:dPt>
          <c:dPt>
            <c:idx val="3"/>
            <c:invertIfNegative val="0"/>
            <c:bubble3D val="0"/>
            <c:extLst>
              <c:ext xmlns:c16="http://schemas.microsoft.com/office/drawing/2014/chart" uri="{C3380CC4-5D6E-409C-BE32-E72D297353CC}">
                <c16:uniqueId val="{00000003-FFB7-4EF5-8BAC-0146A1579A14}"/>
              </c:ext>
            </c:extLst>
          </c:dPt>
          <c:dPt>
            <c:idx val="4"/>
            <c:invertIfNegative val="0"/>
            <c:bubble3D val="0"/>
            <c:extLst>
              <c:ext xmlns:c16="http://schemas.microsoft.com/office/drawing/2014/chart" uri="{C3380CC4-5D6E-409C-BE32-E72D297353CC}">
                <c16:uniqueId val="{00000004-FFB7-4EF5-8BAC-0146A1579A14}"/>
              </c:ext>
            </c:extLst>
          </c:dPt>
          <c:dPt>
            <c:idx val="5"/>
            <c:invertIfNegative val="0"/>
            <c:bubble3D val="0"/>
            <c:extLst>
              <c:ext xmlns:c16="http://schemas.microsoft.com/office/drawing/2014/chart" uri="{C3380CC4-5D6E-409C-BE32-E72D297353CC}">
                <c16:uniqueId val="{00000005-FFB7-4EF5-8BAC-0146A1579A14}"/>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FB7-4EF5-8BAC-0146A1579A14}"/>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FFB7-4EF5-8BAC-0146A1579A14}"/>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FFB7-4EF5-8BAC-0146A1579A14}"/>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FB7-4EF5-8BAC-0146A1579A14}"/>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FFB7-4EF5-8BAC-0146A1579A14}"/>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FFB7-4EF5-8BAC-0146A1579A14}"/>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FFB7-4EF5-8BAC-0146A1579A14}"/>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FFB7-4EF5-8BAC-0146A1579A14}"/>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FFB7-4EF5-8BAC-0146A1579A14}"/>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FFB7-4EF5-8BAC-0146A1579A14}"/>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FFB7-4EF5-8BAC-0146A1579A14}"/>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FFB7-4EF5-8BAC-0146A1579A14}"/>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FB7-4EF5-8BAC-0146A1579A14}"/>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FFB7-4EF5-8BAC-0146A1579A14}"/>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FFB7-4EF5-8BAC-0146A1579A14}"/>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FFB7-4EF5-8BAC-0146A1579A14}"/>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FFB7-4EF5-8BAC-0146A1579A14}"/>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FFB7-4EF5-8BAC-0146A1579A14}"/>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FFB7-4EF5-8BAC-0146A1579A14}"/>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FFB7-4EF5-8BAC-0146A1579A14}"/>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FB7-4EF5-8BAC-0146A1579A14}"/>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FFB7-4EF5-8BAC-0146A1579A14}"/>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FFB7-4EF5-8BAC-0146A1579A14}"/>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FFB7-4EF5-8BAC-0146A1579A14}"/>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FFB7-4EF5-8BAC-0146A1579A14}"/>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FFB7-4EF5-8BAC-0146A1579A14}"/>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FFB7-4EF5-8BAC-0146A1579A14}"/>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FFB7-4EF5-8BAC-0146A1579A14}"/>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FB7-4EF5-8BAC-0146A1579A14}"/>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FFB7-4EF5-8BAC-0146A1579A14}"/>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FFB7-4EF5-8BAC-0146A1579A14}"/>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FFB7-4EF5-8BAC-0146A1579A14}"/>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FFB7-4EF5-8BAC-0146A1579A14}"/>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FFB7-4EF5-8BAC-0146A1579A14}"/>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FFB7-4EF5-8BAC-0146A1579A14}"/>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FFB7-4EF5-8BAC-0146A1579A14}"/>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FFB7-4EF5-8BAC-0146A1579A14}"/>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FFB7-4EF5-8BAC-0146A1579A14}"/>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FFB7-4EF5-8BAC-0146A1579A14}"/>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FFB7-4EF5-8BAC-0146A1579A14}"/>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FFB7-4EF5-8BAC-0146A1579A14}"/>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FFB7-4EF5-8BAC-0146A1579A14}"/>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FFB7-4EF5-8BAC-0146A1579A14}"/>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FFB7-4EF5-8BAC-0146A1579A14}"/>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FFB7-4EF5-8BAC-0146A1579A14}"/>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FFB7-4EF5-8BAC-0146A1579A14}"/>
            </c:ext>
          </c:extLst>
        </c:ser>
        <c:dLbls>
          <c:showLegendKey val="0"/>
          <c:showVal val="0"/>
          <c:showCatName val="0"/>
          <c:showSerName val="0"/>
          <c:showPercent val="0"/>
          <c:showBubbleSize val="0"/>
        </c:dLbls>
        <c:gapWidth val="0"/>
        <c:overlap val="100"/>
        <c:axId val="184653312"/>
        <c:axId val="18465523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FFB7-4EF5-8BAC-0146A1579A14}"/>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execut'!$R$5</c:f>
              <c:numCache>
                <c:formatCode>[$-1010409]General</c:formatCode>
                <c:ptCount val="1"/>
                <c:pt idx="0">
                  <c:v>5</c:v>
                </c:pt>
              </c:numCache>
            </c:numRef>
          </c:xVal>
          <c:yVal>
            <c:numRef>
              <c:f>'IP (1) Process design or execut'!$R$6</c:f>
              <c:numCache>
                <c:formatCode>[$-1010409]General</c:formatCode>
                <c:ptCount val="1"/>
                <c:pt idx="0">
                  <c:v>3.5</c:v>
                </c:pt>
              </c:numCache>
            </c:numRef>
          </c:yVal>
          <c:smooth val="0"/>
          <c:extLst>
            <c:ext xmlns:c16="http://schemas.microsoft.com/office/drawing/2014/chart" uri="{C3380CC4-5D6E-409C-BE32-E72D297353CC}">
              <c16:uniqueId val="{00000049-FFB7-4EF5-8BAC-0146A1579A14}"/>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FFB7-4EF5-8BAC-0146A1579A14}"/>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execut'!$S$5</c:f>
              <c:numCache>
                <c:formatCode>[$-1010409]General</c:formatCode>
                <c:ptCount val="1"/>
                <c:pt idx="0">
                  <c:v>3</c:v>
                </c:pt>
              </c:numCache>
            </c:numRef>
          </c:xVal>
          <c:yVal>
            <c:numRef>
              <c:f>'IP (1) Process design or execut'!$S$6</c:f>
              <c:numCache>
                <c:formatCode>[$-1010409]General</c:formatCode>
                <c:ptCount val="1"/>
                <c:pt idx="0">
                  <c:v>4.5</c:v>
                </c:pt>
              </c:numCache>
            </c:numRef>
          </c:yVal>
          <c:smooth val="0"/>
          <c:extLst>
            <c:ext xmlns:c16="http://schemas.microsoft.com/office/drawing/2014/chart" uri="{C3380CC4-5D6E-409C-BE32-E72D297353CC}">
              <c16:uniqueId val="{0000004B-FFB7-4EF5-8BAC-0146A1579A14}"/>
            </c:ext>
          </c:extLst>
        </c:ser>
        <c:dLbls>
          <c:showLegendKey val="0"/>
          <c:showVal val="0"/>
          <c:showCatName val="0"/>
          <c:showSerName val="0"/>
          <c:showPercent val="0"/>
          <c:showBubbleSize val="0"/>
        </c:dLbls>
        <c:axId val="184665600"/>
        <c:axId val="184667136"/>
      </c:scatterChart>
      <c:catAx>
        <c:axId val="18465331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84655232"/>
        <c:crosses val="autoZero"/>
        <c:auto val="1"/>
        <c:lblAlgn val="ctr"/>
        <c:lblOffset val="100"/>
        <c:noMultiLvlLbl val="0"/>
      </c:catAx>
      <c:valAx>
        <c:axId val="18465523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84653312"/>
        <c:crosses val="autoZero"/>
        <c:crossBetween val="between"/>
        <c:majorUnit val="1"/>
      </c:valAx>
      <c:valAx>
        <c:axId val="184665600"/>
        <c:scaling>
          <c:orientation val="minMax"/>
        </c:scaling>
        <c:delete val="1"/>
        <c:axPos val="b"/>
        <c:numFmt formatCode="[$-1010409]General" sourceLinked="1"/>
        <c:majorTickMark val="out"/>
        <c:minorTickMark val="none"/>
        <c:tickLblPos val="nextTo"/>
        <c:crossAx val="184667136"/>
        <c:crosses val="autoZero"/>
        <c:crossBetween val="midCat"/>
      </c:valAx>
      <c:valAx>
        <c:axId val="184667136"/>
        <c:scaling>
          <c:orientation val="minMax"/>
          <c:max val="5"/>
        </c:scaling>
        <c:delete val="1"/>
        <c:axPos val="r"/>
        <c:numFmt formatCode="[$-1010409]General" sourceLinked="1"/>
        <c:majorTickMark val="out"/>
        <c:minorTickMark val="none"/>
        <c:tickLblPos val="nextTo"/>
        <c:crossAx val="184665600"/>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7C23-4A83-829E-FF7A56F5C27E}"/>
              </c:ext>
            </c:extLst>
          </c:dPt>
          <c:dPt>
            <c:idx val="1"/>
            <c:invertIfNegative val="0"/>
            <c:bubble3D val="0"/>
            <c:extLst>
              <c:ext xmlns:c16="http://schemas.microsoft.com/office/drawing/2014/chart" uri="{C3380CC4-5D6E-409C-BE32-E72D297353CC}">
                <c16:uniqueId val="{00000001-7C23-4A83-829E-FF7A56F5C27E}"/>
              </c:ext>
            </c:extLst>
          </c:dPt>
          <c:dPt>
            <c:idx val="2"/>
            <c:invertIfNegative val="0"/>
            <c:bubble3D val="0"/>
            <c:extLst>
              <c:ext xmlns:c16="http://schemas.microsoft.com/office/drawing/2014/chart" uri="{C3380CC4-5D6E-409C-BE32-E72D297353CC}">
                <c16:uniqueId val="{00000002-7C23-4A83-829E-FF7A56F5C27E}"/>
              </c:ext>
            </c:extLst>
          </c:dPt>
          <c:dPt>
            <c:idx val="3"/>
            <c:invertIfNegative val="0"/>
            <c:bubble3D val="0"/>
            <c:extLst>
              <c:ext xmlns:c16="http://schemas.microsoft.com/office/drawing/2014/chart" uri="{C3380CC4-5D6E-409C-BE32-E72D297353CC}">
                <c16:uniqueId val="{00000003-7C23-4A83-829E-FF7A56F5C27E}"/>
              </c:ext>
            </c:extLst>
          </c:dPt>
          <c:dPt>
            <c:idx val="4"/>
            <c:invertIfNegative val="0"/>
            <c:bubble3D val="0"/>
            <c:extLst>
              <c:ext xmlns:c16="http://schemas.microsoft.com/office/drawing/2014/chart" uri="{C3380CC4-5D6E-409C-BE32-E72D297353CC}">
                <c16:uniqueId val="{00000004-7C23-4A83-829E-FF7A56F5C27E}"/>
              </c:ext>
            </c:extLst>
          </c:dPt>
          <c:dPt>
            <c:idx val="5"/>
            <c:invertIfNegative val="0"/>
            <c:bubble3D val="0"/>
            <c:extLst>
              <c:ext xmlns:c16="http://schemas.microsoft.com/office/drawing/2014/chart" uri="{C3380CC4-5D6E-409C-BE32-E72D297353CC}">
                <c16:uniqueId val="{00000005-7C23-4A83-829E-FF7A56F5C27E}"/>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C23-4A83-829E-FF7A56F5C27E}"/>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7C23-4A83-829E-FF7A56F5C27E}"/>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7C23-4A83-829E-FF7A56F5C27E}"/>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7C23-4A83-829E-FF7A56F5C27E}"/>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7C23-4A83-829E-FF7A56F5C27E}"/>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7C23-4A83-829E-FF7A56F5C27E}"/>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7C23-4A83-829E-FF7A56F5C27E}"/>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7C23-4A83-829E-FF7A56F5C27E}"/>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7C23-4A83-829E-FF7A56F5C27E}"/>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7C23-4A83-829E-FF7A56F5C27E}"/>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7C23-4A83-829E-FF7A56F5C27E}"/>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7C23-4A83-829E-FF7A56F5C27E}"/>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C23-4A83-829E-FF7A56F5C27E}"/>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7C23-4A83-829E-FF7A56F5C27E}"/>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7C23-4A83-829E-FF7A56F5C27E}"/>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7C23-4A83-829E-FF7A56F5C27E}"/>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7C23-4A83-829E-FF7A56F5C27E}"/>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7C23-4A83-829E-FF7A56F5C27E}"/>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7C23-4A83-829E-FF7A56F5C27E}"/>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7C23-4A83-829E-FF7A56F5C27E}"/>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7C23-4A83-829E-FF7A56F5C27E}"/>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7C23-4A83-829E-FF7A56F5C27E}"/>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7C23-4A83-829E-FF7A56F5C27E}"/>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7C23-4A83-829E-FF7A56F5C27E}"/>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7C23-4A83-829E-FF7A56F5C27E}"/>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7C23-4A83-829E-FF7A56F5C27E}"/>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7C23-4A83-829E-FF7A56F5C27E}"/>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7C23-4A83-829E-FF7A56F5C27E}"/>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7C23-4A83-829E-FF7A56F5C27E}"/>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7C23-4A83-829E-FF7A56F5C27E}"/>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7C23-4A83-829E-FF7A56F5C27E}"/>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7C23-4A83-829E-FF7A56F5C27E}"/>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7C23-4A83-829E-FF7A56F5C27E}"/>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7C23-4A83-829E-FF7A56F5C27E}"/>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7C23-4A83-829E-FF7A56F5C27E}"/>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7C23-4A83-829E-FF7A56F5C27E}"/>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7C23-4A83-829E-FF7A56F5C27E}"/>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7C23-4A83-829E-FF7A56F5C27E}"/>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7C23-4A83-829E-FF7A56F5C27E}"/>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7C23-4A83-829E-FF7A56F5C27E}"/>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7C23-4A83-829E-FF7A56F5C27E}"/>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7C23-4A83-829E-FF7A56F5C27E}"/>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7C23-4A83-829E-FF7A56F5C27E}"/>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7C23-4A83-829E-FF7A56F5C27E}"/>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7C23-4A83-829E-FF7A56F5C27E}"/>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7C23-4A83-829E-FF7A56F5C27E}"/>
            </c:ext>
          </c:extLst>
        </c:ser>
        <c:dLbls>
          <c:showLegendKey val="0"/>
          <c:showVal val="0"/>
          <c:showCatName val="0"/>
          <c:showSerName val="0"/>
          <c:showPercent val="0"/>
          <c:showBubbleSize val="0"/>
        </c:dLbls>
        <c:gapWidth val="0"/>
        <c:overlap val="100"/>
        <c:axId val="190102528"/>
        <c:axId val="190121088"/>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7C23-4A83-829E-FF7A56F5C27E}"/>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execut'!$D$5</c:f>
              <c:numCache>
                <c:formatCode>[$-1010409]General</c:formatCode>
                <c:ptCount val="1"/>
                <c:pt idx="0">
                  <c:v>5</c:v>
                </c:pt>
              </c:numCache>
            </c:numRef>
          </c:xVal>
          <c:yVal>
            <c:numRef>
              <c:f>'IP (1) Process design or execut'!$D$6</c:f>
              <c:numCache>
                <c:formatCode>[$-1010409]General</c:formatCode>
                <c:ptCount val="1"/>
                <c:pt idx="0">
                  <c:v>3.5</c:v>
                </c:pt>
              </c:numCache>
            </c:numRef>
          </c:yVal>
          <c:smooth val="0"/>
          <c:extLst>
            <c:ext xmlns:c16="http://schemas.microsoft.com/office/drawing/2014/chart" uri="{C3380CC4-5D6E-409C-BE32-E72D297353CC}">
              <c16:uniqueId val="{00000049-7C23-4A83-829E-FF7A56F5C27E}"/>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7C23-4A83-829E-FF7A56F5C27E}"/>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(1) Process design or execut'!$E$5</c:f>
              <c:numCache>
                <c:formatCode>[$-1010409]General</c:formatCode>
                <c:ptCount val="1"/>
                <c:pt idx="0">
                  <c:v>5</c:v>
                </c:pt>
              </c:numCache>
            </c:numRef>
          </c:xVal>
          <c:yVal>
            <c:numRef>
              <c:f>'IP (1) Process design or execut'!$E$6</c:f>
              <c:numCache>
                <c:formatCode>[$-1010409]General</c:formatCode>
                <c:ptCount val="1"/>
                <c:pt idx="0">
                  <c:v>2.5</c:v>
                </c:pt>
              </c:numCache>
            </c:numRef>
          </c:yVal>
          <c:smooth val="0"/>
          <c:extLst>
            <c:ext xmlns:c16="http://schemas.microsoft.com/office/drawing/2014/chart" uri="{C3380CC4-5D6E-409C-BE32-E72D297353CC}">
              <c16:uniqueId val="{0000004B-7C23-4A83-829E-FF7A56F5C27E}"/>
            </c:ext>
          </c:extLst>
        </c:ser>
        <c:ser>
          <c:idx val="7"/>
          <c:order val="8"/>
          <c:yVal>
            <c:numRef>
              <c:f>'Risk Matrices'!$E$10</c:f>
              <c:numCache>
                <c:formatCode>[$-1010409]General</c:formatCode>
                <c:ptCount val="1"/>
                <c:pt idx="0">
                  <c:v>0</c:v>
                </c:pt>
              </c:numCache>
            </c:numRef>
          </c:yVal>
          <c:smooth val="0"/>
          <c:extLst>
            <c:ext xmlns:c16="http://schemas.microsoft.com/office/drawing/2014/chart" uri="{C3380CC4-5D6E-409C-BE32-E72D297353CC}">
              <c16:uniqueId val="{0000004C-7C23-4A83-829E-FF7A56F5C27E}"/>
            </c:ext>
          </c:extLst>
        </c:ser>
        <c:ser>
          <c:idx val="8"/>
          <c:order val="9"/>
          <c:yVal>
            <c:numRef>
              <c:f>'Risk Matrices'!$E$10</c:f>
              <c:numCache>
                <c:formatCode>[$-1010409]General</c:formatCode>
                <c:ptCount val="1"/>
                <c:pt idx="0">
                  <c:v>0</c:v>
                </c:pt>
              </c:numCache>
            </c:numRef>
          </c:yVal>
          <c:smooth val="0"/>
          <c:extLst>
            <c:ext xmlns:c16="http://schemas.microsoft.com/office/drawing/2014/chart" uri="{C3380CC4-5D6E-409C-BE32-E72D297353CC}">
              <c16:uniqueId val="{0000004D-7C23-4A83-829E-FF7A56F5C27E}"/>
            </c:ext>
          </c:extLst>
        </c:ser>
        <c:dLbls>
          <c:showLegendKey val="0"/>
          <c:showVal val="0"/>
          <c:showCatName val="0"/>
          <c:showSerName val="0"/>
          <c:showPercent val="0"/>
          <c:showBubbleSize val="0"/>
        </c:dLbls>
        <c:axId val="190123008"/>
        <c:axId val="190132992"/>
      </c:scatterChart>
      <c:catAx>
        <c:axId val="190102528"/>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90121088"/>
        <c:crosses val="autoZero"/>
        <c:auto val="1"/>
        <c:lblAlgn val="ctr"/>
        <c:lblOffset val="100"/>
        <c:noMultiLvlLbl val="0"/>
      </c:catAx>
      <c:valAx>
        <c:axId val="190121088"/>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90102528"/>
        <c:crosses val="autoZero"/>
        <c:crossBetween val="between"/>
        <c:majorUnit val="1"/>
      </c:valAx>
      <c:valAx>
        <c:axId val="190123008"/>
        <c:scaling>
          <c:orientation val="minMax"/>
        </c:scaling>
        <c:delete val="1"/>
        <c:axPos val="b"/>
        <c:numFmt formatCode="[$-1010409]General" sourceLinked="1"/>
        <c:majorTickMark val="out"/>
        <c:minorTickMark val="none"/>
        <c:tickLblPos val="nextTo"/>
        <c:crossAx val="190132992"/>
        <c:crosses val="autoZero"/>
        <c:crossBetween val="midCat"/>
      </c:valAx>
      <c:valAx>
        <c:axId val="190132992"/>
        <c:scaling>
          <c:orientation val="minMax"/>
          <c:max val="5"/>
        </c:scaling>
        <c:delete val="1"/>
        <c:axPos val="r"/>
        <c:numFmt formatCode="[$-1010409]General" sourceLinked="1"/>
        <c:majorTickMark val="out"/>
        <c:minorTickMark val="none"/>
        <c:tickLblPos val="nextTo"/>
        <c:crossAx val="190123008"/>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BB03-40F8-9562-CACE95CB4F25}"/>
              </c:ext>
            </c:extLst>
          </c:dPt>
          <c:dPt>
            <c:idx val="1"/>
            <c:invertIfNegative val="0"/>
            <c:bubble3D val="0"/>
            <c:extLst>
              <c:ext xmlns:c16="http://schemas.microsoft.com/office/drawing/2014/chart" uri="{C3380CC4-5D6E-409C-BE32-E72D297353CC}">
                <c16:uniqueId val="{00000001-BB03-40F8-9562-CACE95CB4F25}"/>
              </c:ext>
            </c:extLst>
          </c:dPt>
          <c:dPt>
            <c:idx val="2"/>
            <c:invertIfNegative val="0"/>
            <c:bubble3D val="0"/>
            <c:extLst>
              <c:ext xmlns:c16="http://schemas.microsoft.com/office/drawing/2014/chart" uri="{C3380CC4-5D6E-409C-BE32-E72D297353CC}">
                <c16:uniqueId val="{00000002-BB03-40F8-9562-CACE95CB4F25}"/>
              </c:ext>
            </c:extLst>
          </c:dPt>
          <c:dPt>
            <c:idx val="3"/>
            <c:invertIfNegative val="0"/>
            <c:bubble3D val="0"/>
            <c:extLst>
              <c:ext xmlns:c16="http://schemas.microsoft.com/office/drawing/2014/chart" uri="{C3380CC4-5D6E-409C-BE32-E72D297353CC}">
                <c16:uniqueId val="{00000003-BB03-40F8-9562-CACE95CB4F25}"/>
              </c:ext>
            </c:extLst>
          </c:dPt>
          <c:dPt>
            <c:idx val="4"/>
            <c:invertIfNegative val="0"/>
            <c:bubble3D val="0"/>
            <c:extLst>
              <c:ext xmlns:c16="http://schemas.microsoft.com/office/drawing/2014/chart" uri="{C3380CC4-5D6E-409C-BE32-E72D297353CC}">
                <c16:uniqueId val="{00000004-BB03-40F8-9562-CACE95CB4F25}"/>
              </c:ext>
            </c:extLst>
          </c:dPt>
          <c:dPt>
            <c:idx val="5"/>
            <c:invertIfNegative val="0"/>
            <c:bubble3D val="0"/>
            <c:extLst>
              <c:ext xmlns:c16="http://schemas.microsoft.com/office/drawing/2014/chart" uri="{C3380CC4-5D6E-409C-BE32-E72D297353CC}">
                <c16:uniqueId val="{00000005-BB03-40F8-9562-CACE95CB4F25}"/>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B03-40F8-9562-CACE95CB4F25}"/>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BB03-40F8-9562-CACE95CB4F25}"/>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B03-40F8-9562-CACE95CB4F25}"/>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BB03-40F8-9562-CACE95CB4F25}"/>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BB03-40F8-9562-CACE95CB4F2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BB03-40F8-9562-CACE95CB4F25}"/>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BB03-40F8-9562-CACE95CB4F25}"/>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BB03-40F8-9562-CACE95CB4F25}"/>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BB03-40F8-9562-CACE95CB4F25}"/>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BB03-40F8-9562-CACE95CB4F25}"/>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BB03-40F8-9562-CACE95CB4F25}"/>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BB03-40F8-9562-CACE95CB4F25}"/>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B03-40F8-9562-CACE95CB4F2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BB03-40F8-9562-CACE95CB4F25}"/>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BB03-40F8-9562-CACE95CB4F25}"/>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BB03-40F8-9562-CACE95CB4F25}"/>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BB03-40F8-9562-CACE95CB4F25}"/>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BB03-40F8-9562-CACE95CB4F25}"/>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BB03-40F8-9562-CACE95CB4F2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BB03-40F8-9562-CACE95CB4F25}"/>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BB03-40F8-9562-CACE95CB4F2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BB03-40F8-9562-CACE95CB4F25}"/>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BB03-40F8-9562-CACE95CB4F25}"/>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BB03-40F8-9562-CACE95CB4F25}"/>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BB03-40F8-9562-CACE95CB4F25}"/>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BB03-40F8-9562-CACE95CB4F25}"/>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BB03-40F8-9562-CACE95CB4F2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BB03-40F8-9562-CACE95CB4F25}"/>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BB03-40F8-9562-CACE95CB4F2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BB03-40F8-9562-CACE95CB4F25}"/>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BB03-40F8-9562-CACE95CB4F25}"/>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BB03-40F8-9562-CACE95CB4F25}"/>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BB03-40F8-9562-CACE95CB4F25}"/>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BB03-40F8-9562-CACE95CB4F25}"/>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BB03-40F8-9562-CACE95CB4F2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BB03-40F8-9562-CACE95CB4F25}"/>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BB03-40F8-9562-CACE95CB4F25}"/>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BB03-40F8-9562-CACE95CB4F25}"/>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BB03-40F8-9562-CACE95CB4F25}"/>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BB03-40F8-9562-CACE95CB4F25}"/>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BB03-40F8-9562-CACE95CB4F25}"/>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BB03-40F8-9562-CACE95CB4F25}"/>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BB03-40F8-9562-CACE95CB4F2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BB03-40F8-9562-CACE95CB4F25}"/>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BB03-40F8-9562-CACE95CB4F25}"/>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BB03-40F8-9562-CACE95CB4F25}"/>
            </c:ext>
          </c:extLst>
        </c:ser>
        <c:dLbls>
          <c:showLegendKey val="0"/>
          <c:showVal val="0"/>
          <c:showCatName val="0"/>
          <c:showSerName val="0"/>
          <c:showPercent val="0"/>
          <c:showBubbleSize val="0"/>
        </c:dLbls>
        <c:gapWidth val="0"/>
        <c:overlap val="100"/>
        <c:axId val="179924992"/>
        <c:axId val="17992691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BB03-40F8-9562-CACE95CB4F25}"/>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Inaction'!$K$5</c:f>
              <c:numCache>
                <c:formatCode>[$-1010409]General</c:formatCode>
                <c:ptCount val="1"/>
                <c:pt idx="0">
                  <c:v>6</c:v>
                </c:pt>
              </c:numCache>
            </c:numRef>
          </c:xVal>
          <c:yVal>
            <c:numRef>
              <c:f>'IP (2) Inaction'!$K$6</c:f>
              <c:numCache>
                <c:formatCode>[$-1010409]General</c:formatCode>
                <c:ptCount val="1"/>
                <c:pt idx="0">
                  <c:v>2.5</c:v>
                </c:pt>
              </c:numCache>
            </c:numRef>
          </c:yVal>
          <c:smooth val="0"/>
          <c:extLst>
            <c:ext xmlns:c16="http://schemas.microsoft.com/office/drawing/2014/chart" uri="{C3380CC4-5D6E-409C-BE32-E72D297353CC}">
              <c16:uniqueId val="{00000049-BB03-40F8-9562-CACE95CB4F25}"/>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BB03-40F8-9562-CACE95CB4F25}"/>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Inaction'!$L$5</c:f>
              <c:numCache>
                <c:formatCode>[$-1010409]General</c:formatCode>
                <c:ptCount val="1"/>
                <c:pt idx="0">
                  <c:v>1</c:v>
                </c:pt>
              </c:numCache>
            </c:numRef>
          </c:xVal>
          <c:yVal>
            <c:numRef>
              <c:f>'IP (2) Inaction'!$L$6</c:f>
              <c:numCache>
                <c:formatCode>[$-1010409]General</c:formatCode>
                <c:ptCount val="1"/>
                <c:pt idx="0">
                  <c:v>0.5</c:v>
                </c:pt>
              </c:numCache>
            </c:numRef>
          </c:yVal>
          <c:smooth val="0"/>
          <c:extLst>
            <c:ext xmlns:c16="http://schemas.microsoft.com/office/drawing/2014/chart" uri="{C3380CC4-5D6E-409C-BE32-E72D297353CC}">
              <c16:uniqueId val="{0000004B-BB03-40F8-9562-CACE95CB4F25}"/>
            </c:ext>
          </c:extLst>
        </c:ser>
        <c:dLbls>
          <c:showLegendKey val="0"/>
          <c:showVal val="0"/>
          <c:showCatName val="0"/>
          <c:showSerName val="0"/>
          <c:showPercent val="0"/>
          <c:showBubbleSize val="0"/>
        </c:dLbls>
        <c:axId val="179945472"/>
        <c:axId val="179947008"/>
      </c:scatterChart>
      <c:catAx>
        <c:axId val="17992499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79926912"/>
        <c:crosses val="autoZero"/>
        <c:auto val="1"/>
        <c:lblAlgn val="ctr"/>
        <c:lblOffset val="100"/>
        <c:noMultiLvlLbl val="0"/>
      </c:catAx>
      <c:valAx>
        <c:axId val="17992691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79924992"/>
        <c:crosses val="autoZero"/>
        <c:crossBetween val="between"/>
        <c:majorUnit val="1"/>
      </c:valAx>
      <c:valAx>
        <c:axId val="179945472"/>
        <c:scaling>
          <c:orientation val="minMax"/>
        </c:scaling>
        <c:delete val="1"/>
        <c:axPos val="b"/>
        <c:numFmt formatCode="[$-1010409]General" sourceLinked="1"/>
        <c:majorTickMark val="out"/>
        <c:minorTickMark val="none"/>
        <c:tickLblPos val="nextTo"/>
        <c:crossAx val="179947008"/>
        <c:crosses val="autoZero"/>
        <c:crossBetween val="midCat"/>
      </c:valAx>
      <c:valAx>
        <c:axId val="179947008"/>
        <c:scaling>
          <c:orientation val="minMax"/>
          <c:max val="5"/>
        </c:scaling>
        <c:delete val="1"/>
        <c:axPos val="r"/>
        <c:numFmt formatCode="[$-1010409]General" sourceLinked="1"/>
        <c:majorTickMark val="out"/>
        <c:minorTickMark val="none"/>
        <c:tickLblPos val="nextTo"/>
        <c:crossAx val="179945472"/>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B786-4ECD-AD61-584638386675}"/>
              </c:ext>
            </c:extLst>
          </c:dPt>
          <c:dPt>
            <c:idx val="1"/>
            <c:invertIfNegative val="0"/>
            <c:bubble3D val="0"/>
            <c:extLst>
              <c:ext xmlns:c16="http://schemas.microsoft.com/office/drawing/2014/chart" uri="{C3380CC4-5D6E-409C-BE32-E72D297353CC}">
                <c16:uniqueId val="{00000001-B786-4ECD-AD61-584638386675}"/>
              </c:ext>
            </c:extLst>
          </c:dPt>
          <c:dPt>
            <c:idx val="2"/>
            <c:invertIfNegative val="0"/>
            <c:bubble3D val="0"/>
            <c:extLst>
              <c:ext xmlns:c16="http://schemas.microsoft.com/office/drawing/2014/chart" uri="{C3380CC4-5D6E-409C-BE32-E72D297353CC}">
                <c16:uniqueId val="{00000002-B786-4ECD-AD61-584638386675}"/>
              </c:ext>
            </c:extLst>
          </c:dPt>
          <c:dPt>
            <c:idx val="3"/>
            <c:invertIfNegative val="0"/>
            <c:bubble3D val="0"/>
            <c:extLst>
              <c:ext xmlns:c16="http://schemas.microsoft.com/office/drawing/2014/chart" uri="{C3380CC4-5D6E-409C-BE32-E72D297353CC}">
                <c16:uniqueId val="{00000003-B786-4ECD-AD61-584638386675}"/>
              </c:ext>
            </c:extLst>
          </c:dPt>
          <c:dPt>
            <c:idx val="4"/>
            <c:invertIfNegative val="0"/>
            <c:bubble3D val="0"/>
            <c:extLst>
              <c:ext xmlns:c16="http://schemas.microsoft.com/office/drawing/2014/chart" uri="{C3380CC4-5D6E-409C-BE32-E72D297353CC}">
                <c16:uniqueId val="{00000004-B786-4ECD-AD61-584638386675}"/>
              </c:ext>
            </c:extLst>
          </c:dPt>
          <c:dPt>
            <c:idx val="5"/>
            <c:invertIfNegative val="0"/>
            <c:bubble3D val="0"/>
            <c:extLst>
              <c:ext xmlns:c16="http://schemas.microsoft.com/office/drawing/2014/chart" uri="{C3380CC4-5D6E-409C-BE32-E72D297353CC}">
                <c16:uniqueId val="{00000005-B786-4ECD-AD61-584638386675}"/>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786-4ECD-AD61-584638386675}"/>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B786-4ECD-AD61-584638386675}"/>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786-4ECD-AD61-584638386675}"/>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B786-4ECD-AD61-584638386675}"/>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B786-4ECD-AD61-58463838667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B786-4ECD-AD61-584638386675}"/>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B786-4ECD-AD61-584638386675}"/>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B786-4ECD-AD61-584638386675}"/>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B786-4ECD-AD61-584638386675}"/>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B786-4ECD-AD61-584638386675}"/>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B786-4ECD-AD61-584638386675}"/>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B786-4ECD-AD61-584638386675}"/>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786-4ECD-AD61-58463838667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B786-4ECD-AD61-584638386675}"/>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B786-4ECD-AD61-584638386675}"/>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B786-4ECD-AD61-584638386675}"/>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B786-4ECD-AD61-584638386675}"/>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B786-4ECD-AD61-584638386675}"/>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B786-4ECD-AD61-58463838667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B786-4ECD-AD61-584638386675}"/>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B786-4ECD-AD61-58463838667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B786-4ECD-AD61-584638386675}"/>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B786-4ECD-AD61-584638386675}"/>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B786-4ECD-AD61-584638386675}"/>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B786-4ECD-AD61-584638386675}"/>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B786-4ECD-AD61-584638386675}"/>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B786-4ECD-AD61-58463838667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B786-4ECD-AD61-584638386675}"/>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B786-4ECD-AD61-584638386675}"/>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B786-4ECD-AD61-584638386675}"/>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B786-4ECD-AD61-584638386675}"/>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B786-4ECD-AD61-584638386675}"/>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B786-4ECD-AD61-584638386675}"/>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B786-4ECD-AD61-584638386675}"/>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B786-4ECD-AD61-58463838667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B786-4ECD-AD61-584638386675}"/>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B786-4ECD-AD61-584638386675}"/>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B786-4ECD-AD61-584638386675}"/>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B786-4ECD-AD61-584638386675}"/>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B786-4ECD-AD61-584638386675}"/>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B786-4ECD-AD61-584638386675}"/>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B786-4ECD-AD61-584638386675}"/>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B786-4ECD-AD61-584638386675}"/>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B786-4ECD-AD61-584638386675}"/>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B786-4ECD-AD61-584638386675}"/>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B786-4ECD-AD61-584638386675}"/>
            </c:ext>
          </c:extLst>
        </c:ser>
        <c:dLbls>
          <c:showLegendKey val="0"/>
          <c:showVal val="0"/>
          <c:showCatName val="0"/>
          <c:showSerName val="0"/>
          <c:showPercent val="0"/>
          <c:showBubbleSize val="0"/>
        </c:dLbls>
        <c:gapWidth val="0"/>
        <c:overlap val="100"/>
        <c:axId val="184653312"/>
        <c:axId val="18465523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B786-4ECD-AD61-584638386675}"/>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Inaction'!$R$5</c:f>
              <c:numCache>
                <c:formatCode>[$-1010409]General</c:formatCode>
                <c:ptCount val="1"/>
                <c:pt idx="0">
                  <c:v>6</c:v>
                </c:pt>
              </c:numCache>
            </c:numRef>
          </c:xVal>
          <c:yVal>
            <c:numRef>
              <c:f>'IP (2) Inaction'!$R$6</c:f>
              <c:numCache>
                <c:formatCode>[$-1010409]General</c:formatCode>
                <c:ptCount val="1"/>
                <c:pt idx="0">
                  <c:v>2.5</c:v>
                </c:pt>
              </c:numCache>
            </c:numRef>
          </c:yVal>
          <c:smooth val="0"/>
          <c:extLst>
            <c:ext xmlns:c16="http://schemas.microsoft.com/office/drawing/2014/chart" uri="{C3380CC4-5D6E-409C-BE32-E72D297353CC}">
              <c16:uniqueId val="{00000049-B786-4ECD-AD61-584638386675}"/>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B786-4ECD-AD61-584638386675}"/>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Inaction'!$S$5</c:f>
              <c:numCache>
                <c:formatCode>[$-1010409]General</c:formatCode>
                <c:ptCount val="1"/>
                <c:pt idx="0">
                  <c:v>1</c:v>
                </c:pt>
              </c:numCache>
            </c:numRef>
          </c:xVal>
          <c:yVal>
            <c:numRef>
              <c:f>'IP (2) Inaction'!$S$6</c:f>
              <c:numCache>
                <c:formatCode>[$-1010409]General</c:formatCode>
                <c:ptCount val="1"/>
                <c:pt idx="0">
                  <c:v>0.5</c:v>
                </c:pt>
              </c:numCache>
            </c:numRef>
          </c:yVal>
          <c:smooth val="0"/>
          <c:extLst>
            <c:ext xmlns:c16="http://schemas.microsoft.com/office/drawing/2014/chart" uri="{C3380CC4-5D6E-409C-BE32-E72D297353CC}">
              <c16:uniqueId val="{0000004B-B786-4ECD-AD61-584638386675}"/>
            </c:ext>
          </c:extLst>
        </c:ser>
        <c:dLbls>
          <c:showLegendKey val="0"/>
          <c:showVal val="0"/>
          <c:showCatName val="0"/>
          <c:showSerName val="0"/>
          <c:showPercent val="0"/>
          <c:showBubbleSize val="0"/>
        </c:dLbls>
        <c:axId val="184665600"/>
        <c:axId val="184667136"/>
      </c:scatterChart>
      <c:catAx>
        <c:axId val="18465331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84655232"/>
        <c:crosses val="autoZero"/>
        <c:auto val="1"/>
        <c:lblAlgn val="ctr"/>
        <c:lblOffset val="100"/>
        <c:noMultiLvlLbl val="0"/>
      </c:catAx>
      <c:valAx>
        <c:axId val="18465523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84653312"/>
        <c:crosses val="autoZero"/>
        <c:crossBetween val="between"/>
        <c:majorUnit val="1"/>
      </c:valAx>
      <c:valAx>
        <c:axId val="184665600"/>
        <c:scaling>
          <c:orientation val="minMax"/>
        </c:scaling>
        <c:delete val="1"/>
        <c:axPos val="b"/>
        <c:numFmt formatCode="[$-1010409]General" sourceLinked="1"/>
        <c:majorTickMark val="out"/>
        <c:minorTickMark val="none"/>
        <c:tickLblPos val="nextTo"/>
        <c:crossAx val="184667136"/>
        <c:crosses val="autoZero"/>
        <c:crossBetween val="midCat"/>
      </c:valAx>
      <c:valAx>
        <c:axId val="184667136"/>
        <c:scaling>
          <c:orientation val="minMax"/>
          <c:max val="5"/>
        </c:scaling>
        <c:delete val="1"/>
        <c:axPos val="r"/>
        <c:numFmt formatCode="[$-1010409]General" sourceLinked="1"/>
        <c:majorTickMark val="out"/>
        <c:minorTickMark val="none"/>
        <c:tickLblPos val="nextTo"/>
        <c:crossAx val="184665600"/>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4929-4D19-B368-ABEFCE4893D8}"/>
              </c:ext>
            </c:extLst>
          </c:dPt>
          <c:dPt>
            <c:idx val="1"/>
            <c:invertIfNegative val="0"/>
            <c:bubble3D val="0"/>
            <c:extLst>
              <c:ext xmlns:c16="http://schemas.microsoft.com/office/drawing/2014/chart" uri="{C3380CC4-5D6E-409C-BE32-E72D297353CC}">
                <c16:uniqueId val="{00000001-4929-4D19-B368-ABEFCE4893D8}"/>
              </c:ext>
            </c:extLst>
          </c:dPt>
          <c:dPt>
            <c:idx val="2"/>
            <c:invertIfNegative val="0"/>
            <c:bubble3D val="0"/>
            <c:extLst>
              <c:ext xmlns:c16="http://schemas.microsoft.com/office/drawing/2014/chart" uri="{C3380CC4-5D6E-409C-BE32-E72D297353CC}">
                <c16:uniqueId val="{00000002-4929-4D19-B368-ABEFCE4893D8}"/>
              </c:ext>
            </c:extLst>
          </c:dPt>
          <c:dPt>
            <c:idx val="3"/>
            <c:invertIfNegative val="0"/>
            <c:bubble3D val="0"/>
            <c:extLst>
              <c:ext xmlns:c16="http://schemas.microsoft.com/office/drawing/2014/chart" uri="{C3380CC4-5D6E-409C-BE32-E72D297353CC}">
                <c16:uniqueId val="{00000003-4929-4D19-B368-ABEFCE4893D8}"/>
              </c:ext>
            </c:extLst>
          </c:dPt>
          <c:dPt>
            <c:idx val="4"/>
            <c:invertIfNegative val="0"/>
            <c:bubble3D val="0"/>
            <c:extLst>
              <c:ext xmlns:c16="http://schemas.microsoft.com/office/drawing/2014/chart" uri="{C3380CC4-5D6E-409C-BE32-E72D297353CC}">
                <c16:uniqueId val="{00000004-4929-4D19-B368-ABEFCE4893D8}"/>
              </c:ext>
            </c:extLst>
          </c:dPt>
          <c:dPt>
            <c:idx val="5"/>
            <c:invertIfNegative val="0"/>
            <c:bubble3D val="0"/>
            <c:extLst>
              <c:ext xmlns:c16="http://schemas.microsoft.com/office/drawing/2014/chart" uri="{C3380CC4-5D6E-409C-BE32-E72D297353CC}">
                <c16:uniqueId val="{00000005-4929-4D19-B368-ABEFCE4893D8}"/>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929-4D19-B368-ABEFCE4893D8}"/>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4929-4D19-B368-ABEFCE4893D8}"/>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4929-4D19-B368-ABEFCE4893D8}"/>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929-4D19-B368-ABEFCE4893D8}"/>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4929-4D19-B368-ABEFCE4893D8}"/>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4929-4D19-B368-ABEFCE4893D8}"/>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4929-4D19-B368-ABEFCE4893D8}"/>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4929-4D19-B368-ABEFCE4893D8}"/>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4929-4D19-B368-ABEFCE4893D8}"/>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4929-4D19-B368-ABEFCE4893D8}"/>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4929-4D19-B368-ABEFCE4893D8}"/>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4929-4D19-B368-ABEFCE4893D8}"/>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929-4D19-B368-ABEFCE4893D8}"/>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4929-4D19-B368-ABEFCE4893D8}"/>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4929-4D19-B368-ABEFCE4893D8}"/>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4929-4D19-B368-ABEFCE4893D8}"/>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4929-4D19-B368-ABEFCE4893D8}"/>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4929-4D19-B368-ABEFCE4893D8}"/>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4929-4D19-B368-ABEFCE4893D8}"/>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4929-4D19-B368-ABEFCE4893D8}"/>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4929-4D19-B368-ABEFCE4893D8}"/>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4929-4D19-B368-ABEFCE4893D8}"/>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4929-4D19-B368-ABEFCE4893D8}"/>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4929-4D19-B368-ABEFCE4893D8}"/>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4929-4D19-B368-ABEFCE4893D8}"/>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4929-4D19-B368-ABEFCE4893D8}"/>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4929-4D19-B368-ABEFCE4893D8}"/>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4929-4D19-B368-ABEFCE4893D8}"/>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4929-4D19-B368-ABEFCE4893D8}"/>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4929-4D19-B368-ABEFCE4893D8}"/>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4929-4D19-B368-ABEFCE4893D8}"/>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4929-4D19-B368-ABEFCE4893D8}"/>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4929-4D19-B368-ABEFCE4893D8}"/>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4929-4D19-B368-ABEFCE4893D8}"/>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4929-4D19-B368-ABEFCE4893D8}"/>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4929-4D19-B368-ABEFCE4893D8}"/>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4929-4D19-B368-ABEFCE4893D8}"/>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4929-4D19-B368-ABEFCE4893D8}"/>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4929-4D19-B368-ABEFCE4893D8}"/>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4929-4D19-B368-ABEFCE4893D8}"/>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4929-4D19-B368-ABEFCE4893D8}"/>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4929-4D19-B368-ABEFCE4893D8}"/>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4929-4D19-B368-ABEFCE4893D8}"/>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4929-4D19-B368-ABEFCE4893D8}"/>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4929-4D19-B368-ABEFCE4893D8}"/>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4929-4D19-B368-ABEFCE4893D8}"/>
            </c:ext>
          </c:extLst>
        </c:ser>
        <c:dLbls>
          <c:showLegendKey val="0"/>
          <c:showVal val="0"/>
          <c:showCatName val="0"/>
          <c:showSerName val="0"/>
          <c:showPercent val="0"/>
          <c:showBubbleSize val="0"/>
        </c:dLbls>
        <c:gapWidth val="0"/>
        <c:overlap val="100"/>
        <c:axId val="190102528"/>
        <c:axId val="190121088"/>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4929-4D19-B368-ABEFCE4893D8}"/>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Inaction'!$D$5</c:f>
              <c:numCache>
                <c:formatCode>[$-1010409]General</c:formatCode>
                <c:ptCount val="1"/>
                <c:pt idx="0">
                  <c:v>6</c:v>
                </c:pt>
              </c:numCache>
            </c:numRef>
          </c:xVal>
          <c:yVal>
            <c:numRef>
              <c:f>'IP (2) Inaction'!$D$6</c:f>
              <c:numCache>
                <c:formatCode>[$-1010409]General</c:formatCode>
                <c:ptCount val="1"/>
                <c:pt idx="0">
                  <c:v>2.5</c:v>
                </c:pt>
              </c:numCache>
            </c:numRef>
          </c:yVal>
          <c:smooth val="0"/>
          <c:extLst>
            <c:ext xmlns:c16="http://schemas.microsoft.com/office/drawing/2014/chart" uri="{C3380CC4-5D6E-409C-BE32-E72D297353CC}">
              <c16:uniqueId val="{00000049-4929-4D19-B368-ABEFCE4893D8}"/>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4929-4D19-B368-ABEFCE4893D8}"/>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(2) Inaction'!$E$5</c:f>
              <c:numCache>
                <c:formatCode>[$-1010409]General</c:formatCode>
                <c:ptCount val="1"/>
                <c:pt idx="0">
                  <c:v>1</c:v>
                </c:pt>
              </c:numCache>
            </c:numRef>
          </c:xVal>
          <c:yVal>
            <c:numRef>
              <c:f>'IP (2) Inaction'!$E$6</c:f>
              <c:numCache>
                <c:formatCode>[$-1010409]General</c:formatCode>
                <c:ptCount val="1"/>
                <c:pt idx="0">
                  <c:v>0.5</c:v>
                </c:pt>
              </c:numCache>
            </c:numRef>
          </c:yVal>
          <c:smooth val="0"/>
          <c:extLst>
            <c:ext xmlns:c16="http://schemas.microsoft.com/office/drawing/2014/chart" uri="{C3380CC4-5D6E-409C-BE32-E72D297353CC}">
              <c16:uniqueId val="{0000004B-4929-4D19-B368-ABEFCE4893D8}"/>
            </c:ext>
          </c:extLst>
        </c:ser>
        <c:ser>
          <c:idx val="7"/>
          <c:order val="8"/>
          <c:yVal>
            <c:numRef>
              <c:f>'Risk Matrices'!$E$10</c:f>
              <c:numCache>
                <c:formatCode>[$-1010409]General</c:formatCode>
                <c:ptCount val="1"/>
                <c:pt idx="0">
                  <c:v>0</c:v>
                </c:pt>
              </c:numCache>
            </c:numRef>
          </c:yVal>
          <c:smooth val="0"/>
          <c:extLst>
            <c:ext xmlns:c16="http://schemas.microsoft.com/office/drawing/2014/chart" uri="{C3380CC4-5D6E-409C-BE32-E72D297353CC}">
              <c16:uniqueId val="{0000004C-4929-4D19-B368-ABEFCE4893D8}"/>
            </c:ext>
          </c:extLst>
        </c:ser>
        <c:ser>
          <c:idx val="8"/>
          <c:order val="9"/>
          <c:yVal>
            <c:numRef>
              <c:f>'Risk Matrices'!$E$10</c:f>
              <c:numCache>
                <c:formatCode>[$-1010409]General</c:formatCode>
                <c:ptCount val="1"/>
                <c:pt idx="0">
                  <c:v>0</c:v>
                </c:pt>
              </c:numCache>
            </c:numRef>
          </c:yVal>
          <c:smooth val="0"/>
          <c:extLst>
            <c:ext xmlns:c16="http://schemas.microsoft.com/office/drawing/2014/chart" uri="{C3380CC4-5D6E-409C-BE32-E72D297353CC}">
              <c16:uniqueId val="{0000004D-4929-4D19-B368-ABEFCE4893D8}"/>
            </c:ext>
          </c:extLst>
        </c:ser>
        <c:dLbls>
          <c:showLegendKey val="0"/>
          <c:showVal val="0"/>
          <c:showCatName val="0"/>
          <c:showSerName val="0"/>
          <c:showPercent val="0"/>
          <c:showBubbleSize val="0"/>
        </c:dLbls>
        <c:axId val="190123008"/>
        <c:axId val="190132992"/>
      </c:scatterChart>
      <c:catAx>
        <c:axId val="190102528"/>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90121088"/>
        <c:crosses val="autoZero"/>
        <c:auto val="1"/>
        <c:lblAlgn val="ctr"/>
        <c:lblOffset val="100"/>
        <c:noMultiLvlLbl val="0"/>
      </c:catAx>
      <c:valAx>
        <c:axId val="190121088"/>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90102528"/>
        <c:crosses val="autoZero"/>
        <c:crossBetween val="between"/>
        <c:majorUnit val="1"/>
      </c:valAx>
      <c:valAx>
        <c:axId val="190123008"/>
        <c:scaling>
          <c:orientation val="minMax"/>
        </c:scaling>
        <c:delete val="1"/>
        <c:axPos val="b"/>
        <c:numFmt formatCode="[$-1010409]General" sourceLinked="1"/>
        <c:majorTickMark val="out"/>
        <c:minorTickMark val="none"/>
        <c:tickLblPos val="nextTo"/>
        <c:crossAx val="190132992"/>
        <c:crosses val="autoZero"/>
        <c:crossBetween val="midCat"/>
      </c:valAx>
      <c:valAx>
        <c:axId val="190132992"/>
        <c:scaling>
          <c:orientation val="minMax"/>
          <c:max val="5"/>
        </c:scaling>
        <c:delete val="1"/>
        <c:axPos val="r"/>
        <c:numFmt formatCode="[$-1010409]General" sourceLinked="1"/>
        <c:majorTickMark val="out"/>
        <c:minorTickMark val="none"/>
        <c:tickLblPos val="nextTo"/>
        <c:crossAx val="190123008"/>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8F7F-47B4-8D41-515BCAD082AF}"/>
              </c:ext>
            </c:extLst>
          </c:dPt>
          <c:dPt>
            <c:idx val="1"/>
            <c:invertIfNegative val="0"/>
            <c:bubble3D val="0"/>
            <c:extLst>
              <c:ext xmlns:c16="http://schemas.microsoft.com/office/drawing/2014/chart" uri="{C3380CC4-5D6E-409C-BE32-E72D297353CC}">
                <c16:uniqueId val="{00000001-8F7F-47B4-8D41-515BCAD082AF}"/>
              </c:ext>
            </c:extLst>
          </c:dPt>
          <c:dPt>
            <c:idx val="2"/>
            <c:invertIfNegative val="0"/>
            <c:bubble3D val="0"/>
            <c:extLst>
              <c:ext xmlns:c16="http://schemas.microsoft.com/office/drawing/2014/chart" uri="{C3380CC4-5D6E-409C-BE32-E72D297353CC}">
                <c16:uniqueId val="{00000002-8F7F-47B4-8D41-515BCAD082AF}"/>
              </c:ext>
            </c:extLst>
          </c:dPt>
          <c:dPt>
            <c:idx val="3"/>
            <c:invertIfNegative val="0"/>
            <c:bubble3D val="0"/>
            <c:extLst>
              <c:ext xmlns:c16="http://schemas.microsoft.com/office/drawing/2014/chart" uri="{C3380CC4-5D6E-409C-BE32-E72D297353CC}">
                <c16:uniqueId val="{00000003-8F7F-47B4-8D41-515BCAD082AF}"/>
              </c:ext>
            </c:extLst>
          </c:dPt>
          <c:dPt>
            <c:idx val="4"/>
            <c:invertIfNegative val="0"/>
            <c:bubble3D val="0"/>
            <c:extLst>
              <c:ext xmlns:c16="http://schemas.microsoft.com/office/drawing/2014/chart" uri="{C3380CC4-5D6E-409C-BE32-E72D297353CC}">
                <c16:uniqueId val="{00000004-8F7F-47B4-8D41-515BCAD082AF}"/>
              </c:ext>
            </c:extLst>
          </c:dPt>
          <c:dPt>
            <c:idx val="5"/>
            <c:invertIfNegative val="0"/>
            <c:bubble3D val="0"/>
            <c:extLst>
              <c:ext xmlns:c16="http://schemas.microsoft.com/office/drawing/2014/chart" uri="{C3380CC4-5D6E-409C-BE32-E72D297353CC}">
                <c16:uniqueId val="{00000005-8F7F-47B4-8D41-515BCAD082AF}"/>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F7F-47B4-8D41-515BCAD082AF}"/>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8F7F-47B4-8D41-515BCAD082AF}"/>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8F7F-47B4-8D41-515BCAD082AF}"/>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F7F-47B4-8D41-515BCAD082AF}"/>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8F7F-47B4-8D41-515BCAD082A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8F7F-47B4-8D41-515BCAD082AF}"/>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8F7F-47B4-8D41-515BCAD082A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8F7F-47B4-8D41-515BCAD082AF}"/>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8F7F-47B4-8D41-515BCAD082AF}"/>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8F7F-47B4-8D41-515BCAD082A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8F7F-47B4-8D41-515BCAD082AF}"/>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8F7F-47B4-8D41-515BCAD082AF}"/>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F7F-47B4-8D41-515BCAD082A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8F7F-47B4-8D41-515BCAD082AF}"/>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8F7F-47B4-8D41-515BCAD082AF}"/>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8F7F-47B4-8D41-515BCAD082AF}"/>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8F7F-47B4-8D41-515BCAD082AF}"/>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8F7F-47B4-8D41-515BCAD082AF}"/>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8F7F-47B4-8D41-515BCAD082A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8F7F-47B4-8D41-515BCAD082AF}"/>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8F7F-47B4-8D41-515BCAD082A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8F7F-47B4-8D41-515BCAD082AF}"/>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8F7F-47B4-8D41-515BCAD082AF}"/>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8F7F-47B4-8D41-515BCAD082AF}"/>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8F7F-47B4-8D41-515BCAD082AF}"/>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8F7F-47B4-8D41-515BCAD082AF}"/>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8F7F-47B4-8D41-515BCAD082A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8F7F-47B4-8D41-515BCAD082AF}"/>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8F7F-47B4-8D41-515BCAD082AF}"/>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8F7F-47B4-8D41-515BCAD082AF}"/>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8F7F-47B4-8D41-515BCAD082AF}"/>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8F7F-47B4-8D41-515BCAD082AF}"/>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8F7F-47B4-8D41-515BCAD082AF}"/>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8F7F-47B4-8D41-515BCAD082A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8F7F-47B4-8D41-515BCAD082A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8F7F-47B4-8D41-515BCAD082AF}"/>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8F7F-47B4-8D41-515BCAD082A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8F7F-47B4-8D41-515BCAD082AF}"/>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8F7F-47B4-8D41-515BCAD082AF}"/>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8F7F-47B4-8D41-515BCAD082AF}"/>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8F7F-47B4-8D41-515BCAD082AF}"/>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8F7F-47B4-8D41-515BCAD082AF}"/>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8F7F-47B4-8D41-515BCAD082AF}"/>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8F7F-47B4-8D41-515BCAD082AF}"/>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8F7F-47B4-8D41-515BCAD082AF}"/>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8F7F-47B4-8D41-515BCAD082AF}"/>
            </c:ext>
          </c:extLst>
        </c:ser>
        <c:dLbls>
          <c:showLegendKey val="0"/>
          <c:showVal val="0"/>
          <c:showCatName val="0"/>
          <c:showSerName val="0"/>
          <c:showPercent val="0"/>
          <c:showBubbleSize val="0"/>
        </c:dLbls>
        <c:gapWidth val="0"/>
        <c:overlap val="100"/>
        <c:axId val="179924992"/>
        <c:axId val="17992691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8F7F-47B4-8D41-515BCAD082AF}"/>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Disasters'!$K$5</c:f>
              <c:numCache>
                <c:formatCode>[$-1010409]General</c:formatCode>
                <c:ptCount val="1"/>
                <c:pt idx="0">
                  <c:v>4</c:v>
                </c:pt>
              </c:numCache>
            </c:numRef>
          </c:xVal>
          <c:yVal>
            <c:numRef>
              <c:f>'IP (3) Disasters'!$K$6</c:f>
              <c:numCache>
                <c:formatCode>[$-1010409]General</c:formatCode>
                <c:ptCount val="1"/>
                <c:pt idx="0">
                  <c:v>4.5</c:v>
                </c:pt>
              </c:numCache>
            </c:numRef>
          </c:yVal>
          <c:smooth val="0"/>
          <c:extLst>
            <c:ext xmlns:c16="http://schemas.microsoft.com/office/drawing/2014/chart" uri="{C3380CC4-5D6E-409C-BE32-E72D297353CC}">
              <c16:uniqueId val="{00000049-8F7F-47B4-8D41-515BCAD082AF}"/>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8F7F-47B4-8D41-515BCAD082AF}"/>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Disasters'!$L$5</c:f>
              <c:numCache>
                <c:formatCode>[$-1010409]General</c:formatCode>
                <c:ptCount val="1"/>
                <c:pt idx="0">
                  <c:v>3</c:v>
                </c:pt>
              </c:numCache>
            </c:numRef>
          </c:xVal>
          <c:yVal>
            <c:numRef>
              <c:f>'IP (3) Disasters'!$L$6</c:f>
              <c:numCache>
                <c:formatCode>[$-1010409]General</c:formatCode>
                <c:ptCount val="1"/>
                <c:pt idx="0">
                  <c:v>1.5</c:v>
                </c:pt>
              </c:numCache>
            </c:numRef>
          </c:yVal>
          <c:smooth val="0"/>
          <c:extLst>
            <c:ext xmlns:c16="http://schemas.microsoft.com/office/drawing/2014/chart" uri="{C3380CC4-5D6E-409C-BE32-E72D297353CC}">
              <c16:uniqueId val="{0000004B-8F7F-47B4-8D41-515BCAD082AF}"/>
            </c:ext>
          </c:extLst>
        </c:ser>
        <c:dLbls>
          <c:showLegendKey val="0"/>
          <c:showVal val="0"/>
          <c:showCatName val="0"/>
          <c:showSerName val="0"/>
          <c:showPercent val="0"/>
          <c:showBubbleSize val="0"/>
        </c:dLbls>
        <c:axId val="179945472"/>
        <c:axId val="179947008"/>
      </c:scatterChart>
      <c:catAx>
        <c:axId val="17992499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79926912"/>
        <c:crosses val="autoZero"/>
        <c:auto val="1"/>
        <c:lblAlgn val="ctr"/>
        <c:lblOffset val="100"/>
        <c:noMultiLvlLbl val="0"/>
      </c:catAx>
      <c:valAx>
        <c:axId val="17992691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79924992"/>
        <c:crosses val="autoZero"/>
        <c:crossBetween val="between"/>
        <c:majorUnit val="1"/>
      </c:valAx>
      <c:valAx>
        <c:axId val="179945472"/>
        <c:scaling>
          <c:orientation val="minMax"/>
        </c:scaling>
        <c:delete val="1"/>
        <c:axPos val="b"/>
        <c:numFmt formatCode="[$-1010409]General" sourceLinked="1"/>
        <c:majorTickMark val="out"/>
        <c:minorTickMark val="none"/>
        <c:tickLblPos val="nextTo"/>
        <c:crossAx val="179947008"/>
        <c:crosses val="autoZero"/>
        <c:crossBetween val="midCat"/>
      </c:valAx>
      <c:valAx>
        <c:axId val="179947008"/>
        <c:scaling>
          <c:orientation val="minMax"/>
          <c:max val="5"/>
        </c:scaling>
        <c:delete val="1"/>
        <c:axPos val="r"/>
        <c:numFmt formatCode="[$-1010409]General" sourceLinked="1"/>
        <c:majorTickMark val="out"/>
        <c:minorTickMark val="none"/>
        <c:tickLblPos val="nextTo"/>
        <c:crossAx val="179945472"/>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FEAD-4E63-9B73-77DEEA1C2201}"/>
              </c:ext>
            </c:extLst>
          </c:dPt>
          <c:dPt>
            <c:idx val="1"/>
            <c:invertIfNegative val="0"/>
            <c:bubble3D val="0"/>
            <c:extLst>
              <c:ext xmlns:c16="http://schemas.microsoft.com/office/drawing/2014/chart" uri="{C3380CC4-5D6E-409C-BE32-E72D297353CC}">
                <c16:uniqueId val="{00000001-FEAD-4E63-9B73-77DEEA1C2201}"/>
              </c:ext>
            </c:extLst>
          </c:dPt>
          <c:dPt>
            <c:idx val="2"/>
            <c:invertIfNegative val="0"/>
            <c:bubble3D val="0"/>
            <c:extLst>
              <c:ext xmlns:c16="http://schemas.microsoft.com/office/drawing/2014/chart" uri="{C3380CC4-5D6E-409C-BE32-E72D297353CC}">
                <c16:uniqueId val="{00000002-FEAD-4E63-9B73-77DEEA1C2201}"/>
              </c:ext>
            </c:extLst>
          </c:dPt>
          <c:dPt>
            <c:idx val="3"/>
            <c:invertIfNegative val="0"/>
            <c:bubble3D val="0"/>
            <c:extLst>
              <c:ext xmlns:c16="http://schemas.microsoft.com/office/drawing/2014/chart" uri="{C3380CC4-5D6E-409C-BE32-E72D297353CC}">
                <c16:uniqueId val="{00000003-FEAD-4E63-9B73-77DEEA1C2201}"/>
              </c:ext>
            </c:extLst>
          </c:dPt>
          <c:dPt>
            <c:idx val="4"/>
            <c:invertIfNegative val="0"/>
            <c:bubble3D val="0"/>
            <c:extLst>
              <c:ext xmlns:c16="http://schemas.microsoft.com/office/drawing/2014/chart" uri="{C3380CC4-5D6E-409C-BE32-E72D297353CC}">
                <c16:uniqueId val="{00000004-FEAD-4E63-9B73-77DEEA1C2201}"/>
              </c:ext>
            </c:extLst>
          </c:dPt>
          <c:dPt>
            <c:idx val="5"/>
            <c:invertIfNegative val="0"/>
            <c:bubble3D val="0"/>
            <c:extLst>
              <c:ext xmlns:c16="http://schemas.microsoft.com/office/drawing/2014/chart" uri="{C3380CC4-5D6E-409C-BE32-E72D297353CC}">
                <c16:uniqueId val="{00000005-FEAD-4E63-9B73-77DEEA1C2201}"/>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EAD-4E63-9B73-77DEEA1C2201}"/>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FEAD-4E63-9B73-77DEEA1C2201}"/>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FEAD-4E63-9B73-77DEEA1C2201}"/>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EAD-4E63-9B73-77DEEA1C2201}"/>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FEAD-4E63-9B73-77DEEA1C2201}"/>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FEAD-4E63-9B73-77DEEA1C2201}"/>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FEAD-4E63-9B73-77DEEA1C2201}"/>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FEAD-4E63-9B73-77DEEA1C2201}"/>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FEAD-4E63-9B73-77DEEA1C2201}"/>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FEAD-4E63-9B73-77DEEA1C2201}"/>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FEAD-4E63-9B73-77DEEA1C2201}"/>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FEAD-4E63-9B73-77DEEA1C2201}"/>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EAD-4E63-9B73-77DEEA1C2201}"/>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FEAD-4E63-9B73-77DEEA1C2201}"/>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FEAD-4E63-9B73-77DEEA1C2201}"/>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FEAD-4E63-9B73-77DEEA1C2201}"/>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FEAD-4E63-9B73-77DEEA1C2201}"/>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FEAD-4E63-9B73-77DEEA1C2201}"/>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FEAD-4E63-9B73-77DEEA1C2201}"/>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FEAD-4E63-9B73-77DEEA1C2201}"/>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EAD-4E63-9B73-77DEEA1C2201}"/>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FEAD-4E63-9B73-77DEEA1C2201}"/>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FEAD-4E63-9B73-77DEEA1C2201}"/>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FEAD-4E63-9B73-77DEEA1C2201}"/>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FEAD-4E63-9B73-77DEEA1C2201}"/>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FEAD-4E63-9B73-77DEEA1C2201}"/>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FEAD-4E63-9B73-77DEEA1C2201}"/>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FEAD-4E63-9B73-77DEEA1C2201}"/>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FEAD-4E63-9B73-77DEEA1C2201}"/>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FEAD-4E63-9B73-77DEEA1C2201}"/>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FEAD-4E63-9B73-77DEEA1C2201}"/>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FEAD-4E63-9B73-77DEEA1C2201}"/>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FEAD-4E63-9B73-77DEEA1C2201}"/>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FEAD-4E63-9B73-77DEEA1C2201}"/>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FEAD-4E63-9B73-77DEEA1C2201}"/>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FEAD-4E63-9B73-77DEEA1C2201}"/>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FEAD-4E63-9B73-77DEEA1C2201}"/>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FEAD-4E63-9B73-77DEEA1C2201}"/>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FEAD-4E63-9B73-77DEEA1C2201}"/>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FEAD-4E63-9B73-77DEEA1C2201}"/>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FEAD-4E63-9B73-77DEEA1C2201}"/>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FEAD-4E63-9B73-77DEEA1C2201}"/>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FEAD-4E63-9B73-77DEEA1C2201}"/>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FEAD-4E63-9B73-77DEEA1C2201}"/>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FEAD-4E63-9B73-77DEEA1C2201}"/>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FEAD-4E63-9B73-77DEEA1C2201}"/>
            </c:ext>
          </c:extLst>
        </c:ser>
        <c:dLbls>
          <c:showLegendKey val="0"/>
          <c:showVal val="0"/>
          <c:showCatName val="0"/>
          <c:showSerName val="0"/>
          <c:showPercent val="0"/>
          <c:showBubbleSize val="0"/>
        </c:dLbls>
        <c:gapWidth val="0"/>
        <c:overlap val="100"/>
        <c:axId val="184653312"/>
        <c:axId val="184655232"/>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FEAD-4E63-9B73-77DEEA1C2201}"/>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Disasters'!$R$5</c:f>
              <c:numCache>
                <c:formatCode>[$-1010409]General</c:formatCode>
                <c:ptCount val="1"/>
                <c:pt idx="0">
                  <c:v>4</c:v>
                </c:pt>
              </c:numCache>
            </c:numRef>
          </c:xVal>
          <c:yVal>
            <c:numRef>
              <c:f>'IP (3) Disasters'!$R$6</c:f>
              <c:numCache>
                <c:formatCode>[$-1010409]General</c:formatCode>
                <c:ptCount val="1"/>
                <c:pt idx="0">
                  <c:v>4.5</c:v>
                </c:pt>
              </c:numCache>
            </c:numRef>
          </c:yVal>
          <c:smooth val="0"/>
          <c:extLst>
            <c:ext xmlns:c16="http://schemas.microsoft.com/office/drawing/2014/chart" uri="{C3380CC4-5D6E-409C-BE32-E72D297353CC}">
              <c16:uniqueId val="{00000049-FEAD-4E63-9B73-77DEEA1C2201}"/>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FEAD-4E63-9B73-77DEEA1C2201}"/>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Disasters'!$S$5</c:f>
              <c:numCache>
                <c:formatCode>[$-1010409]General</c:formatCode>
                <c:ptCount val="1"/>
                <c:pt idx="0">
                  <c:v>4</c:v>
                </c:pt>
              </c:numCache>
            </c:numRef>
          </c:xVal>
          <c:yVal>
            <c:numRef>
              <c:f>'IP (3) Disasters'!$S$6</c:f>
              <c:numCache>
                <c:formatCode>[$-1010409]General</c:formatCode>
                <c:ptCount val="1"/>
                <c:pt idx="0">
                  <c:v>2.5</c:v>
                </c:pt>
              </c:numCache>
            </c:numRef>
          </c:yVal>
          <c:smooth val="0"/>
          <c:extLst>
            <c:ext xmlns:c16="http://schemas.microsoft.com/office/drawing/2014/chart" uri="{C3380CC4-5D6E-409C-BE32-E72D297353CC}">
              <c16:uniqueId val="{0000004B-FEAD-4E63-9B73-77DEEA1C2201}"/>
            </c:ext>
          </c:extLst>
        </c:ser>
        <c:dLbls>
          <c:showLegendKey val="0"/>
          <c:showVal val="0"/>
          <c:showCatName val="0"/>
          <c:showSerName val="0"/>
          <c:showPercent val="0"/>
          <c:showBubbleSize val="0"/>
        </c:dLbls>
        <c:axId val="184665600"/>
        <c:axId val="184667136"/>
      </c:scatterChart>
      <c:catAx>
        <c:axId val="184653312"/>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84655232"/>
        <c:crosses val="autoZero"/>
        <c:auto val="1"/>
        <c:lblAlgn val="ctr"/>
        <c:lblOffset val="100"/>
        <c:noMultiLvlLbl val="0"/>
      </c:catAx>
      <c:valAx>
        <c:axId val="184655232"/>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84653312"/>
        <c:crosses val="autoZero"/>
        <c:crossBetween val="between"/>
        <c:majorUnit val="1"/>
      </c:valAx>
      <c:valAx>
        <c:axId val="184665600"/>
        <c:scaling>
          <c:orientation val="minMax"/>
        </c:scaling>
        <c:delete val="1"/>
        <c:axPos val="b"/>
        <c:numFmt formatCode="[$-1010409]General" sourceLinked="1"/>
        <c:majorTickMark val="out"/>
        <c:minorTickMark val="none"/>
        <c:tickLblPos val="nextTo"/>
        <c:crossAx val="184667136"/>
        <c:crosses val="autoZero"/>
        <c:crossBetween val="midCat"/>
      </c:valAx>
      <c:valAx>
        <c:axId val="184667136"/>
        <c:scaling>
          <c:orientation val="minMax"/>
          <c:max val="5"/>
        </c:scaling>
        <c:delete val="1"/>
        <c:axPos val="r"/>
        <c:numFmt formatCode="[$-1010409]General" sourceLinked="1"/>
        <c:majorTickMark val="out"/>
        <c:minorTickMark val="none"/>
        <c:tickLblPos val="nextTo"/>
        <c:crossAx val="184665600"/>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659633967875911E-2"/>
          <c:y val="4.4378698224852069E-2"/>
          <c:w val="0.91116498699513582"/>
          <c:h val="0.8897861247073845"/>
        </c:manualLayout>
      </c:layout>
      <c:barChart>
        <c:barDir val="col"/>
        <c:grouping val="stacked"/>
        <c:varyColors val="0"/>
        <c:ser>
          <c:idx val="0"/>
          <c:order val="0"/>
          <c:tx>
            <c:v>
            </c:v>
          </c:tx>
          <c:spPr>
            <a:solidFill>
              <a:srgbClr val="C0C0C0"/>
            </a:solidFill>
            <a:ln w="3175">
              <a:solidFill>
                <a:srgbClr val="000000"/>
              </a:solidFill>
              <a:prstDash val="solid"/>
            </a:ln>
          </c:spPr>
          <c:invertIfNegative val="0"/>
          <c:dPt>
            <c:idx val="0"/>
            <c:invertIfNegative val="0"/>
            <c:bubble3D val="0"/>
            <c:extLst>
              <c:ext xmlns:c16="http://schemas.microsoft.com/office/drawing/2014/chart" uri="{C3380CC4-5D6E-409C-BE32-E72D297353CC}">
                <c16:uniqueId val="{00000000-7D91-435A-9073-411561C6D6D6}"/>
              </c:ext>
            </c:extLst>
          </c:dPt>
          <c:dPt>
            <c:idx val="1"/>
            <c:invertIfNegative val="0"/>
            <c:bubble3D val="0"/>
            <c:extLst>
              <c:ext xmlns:c16="http://schemas.microsoft.com/office/drawing/2014/chart" uri="{C3380CC4-5D6E-409C-BE32-E72D297353CC}">
                <c16:uniqueId val="{00000001-7D91-435A-9073-411561C6D6D6}"/>
              </c:ext>
            </c:extLst>
          </c:dPt>
          <c:dPt>
            <c:idx val="2"/>
            <c:invertIfNegative val="0"/>
            <c:bubble3D val="0"/>
            <c:extLst>
              <c:ext xmlns:c16="http://schemas.microsoft.com/office/drawing/2014/chart" uri="{C3380CC4-5D6E-409C-BE32-E72D297353CC}">
                <c16:uniqueId val="{00000002-7D91-435A-9073-411561C6D6D6}"/>
              </c:ext>
            </c:extLst>
          </c:dPt>
          <c:dPt>
            <c:idx val="3"/>
            <c:invertIfNegative val="0"/>
            <c:bubble3D val="0"/>
            <c:extLst>
              <c:ext xmlns:c16="http://schemas.microsoft.com/office/drawing/2014/chart" uri="{C3380CC4-5D6E-409C-BE32-E72D297353CC}">
                <c16:uniqueId val="{00000003-7D91-435A-9073-411561C6D6D6}"/>
              </c:ext>
            </c:extLst>
          </c:dPt>
          <c:dPt>
            <c:idx val="4"/>
            <c:invertIfNegative val="0"/>
            <c:bubble3D val="0"/>
            <c:extLst>
              <c:ext xmlns:c16="http://schemas.microsoft.com/office/drawing/2014/chart" uri="{C3380CC4-5D6E-409C-BE32-E72D297353CC}">
                <c16:uniqueId val="{00000004-7D91-435A-9073-411561C6D6D6}"/>
              </c:ext>
            </c:extLst>
          </c:dPt>
          <c:dPt>
            <c:idx val="5"/>
            <c:invertIfNegative val="0"/>
            <c:bubble3D val="0"/>
            <c:extLst>
              <c:ext xmlns:c16="http://schemas.microsoft.com/office/drawing/2014/chart" uri="{C3380CC4-5D6E-409C-BE32-E72D297353CC}">
                <c16:uniqueId val="{00000005-7D91-435A-9073-411561C6D6D6}"/>
              </c:ext>
            </c:extLst>
          </c:dPt>
          <c:dLbls>
            <c:dLbl>
              <c:idx val="1"/>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D91-435A-9073-411561C6D6D6}"/>
                </c:ext>
              </c:extLst>
            </c:dLbl>
            <c:dLbl>
              <c:idx val="2"/>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7D91-435A-9073-411561C6D6D6}"/>
                </c:ext>
              </c:extLst>
            </c:dLbl>
            <c:dLbl>
              <c:idx val="3"/>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7D91-435A-9073-411561C6D6D6}"/>
                </c:ext>
              </c:extLst>
            </c:dLbl>
            <c:dLbl>
              <c:idx val="4"/>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7D91-435A-9073-411561C6D6D6}"/>
                </c:ext>
              </c:extLst>
            </c:dLbl>
            <c:dLbl>
              <c:idx val="5"/>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7D91-435A-9073-411561C6D6D6}"/>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6-7D91-435A-9073-411561C6D6D6}"/>
            </c:ext>
          </c:extLst>
        </c:ser>
        <c:ser>
          <c:idx val="1"/>
          <c:order val="1"/>
          <c:tx>
            <c:v>
            </c:v>
          </c:tx>
          <c:spPr>
            <a:solidFill>
              <a:srgbClr val="9933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08-7D91-435A-9073-411561C6D6D6}"/>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A-7D91-435A-9073-411561C6D6D6}"/>
              </c:ext>
            </c:extLst>
          </c:dPt>
          <c:dPt>
            <c:idx val="2"/>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0C-7D91-435A-9073-411561C6D6D6}"/>
              </c:ext>
            </c:extLst>
          </c:dPt>
          <c:dPt>
            <c:idx val="3"/>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0E-7D91-435A-9073-411561C6D6D6}"/>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0-7D91-435A-9073-411561C6D6D6}"/>
              </c:ext>
            </c:extLst>
          </c:dPt>
          <c:dPt>
            <c:idx val="5"/>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12-7D91-435A-9073-411561C6D6D6}"/>
              </c:ext>
            </c:extLst>
          </c:dPt>
          <c:dLbls>
            <c:dLbl>
              <c:idx val="0"/>
              <c:tx>
                <c:rich>
                  <a:bodyPr/>
                  <a:lstStyle/>
                  <a:p>
                    <a:pPr>
                      <a:defRPr sz="825" b="1" i="0" u="none" strike="noStrike" baseline="0">
                        <a:solidFill>
                          <a:srgbClr val="000000"/>
                        </a:solidFill>
                        <a:latin typeface="Arial"/>
                        <a:ea typeface="Arial"/>
                        <a:cs typeface="Arial"/>
                      </a:defRPr>
                    </a:pPr>
                    <a:r>
                      <a:rPr lang="en-US"/>
                      <a:t>1</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D91-435A-9073-411561C6D6D6}"/>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13-7D91-435A-9073-411561C6D6D6}"/>
            </c:ext>
          </c:extLst>
        </c:ser>
        <c:ser>
          <c:idx val="2"/>
          <c:order val="2"/>
          <c:tx>
            <c:v>
            </c:v>
          </c:tx>
          <c:spPr>
            <a:solidFill>
              <a:srgbClr val="FFFFCC"/>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15-7D91-435A-9073-411561C6D6D6}"/>
              </c:ext>
            </c:extLst>
          </c:dPt>
          <c:dPt>
            <c:idx val="1"/>
            <c:invertIfNegative val="0"/>
            <c:bubble3D val="0"/>
            <c:spPr>
              <a:solidFill>
                <a:srgbClr val="009865"/>
              </a:solidFill>
              <a:ln w="12700">
                <a:solidFill>
                  <a:srgbClr val="000000"/>
                </a:solidFill>
                <a:prstDash val="solid"/>
              </a:ln>
            </c:spPr>
            <c:extLst>
              <c:ext xmlns:c16="http://schemas.microsoft.com/office/drawing/2014/chart" uri="{C3380CC4-5D6E-409C-BE32-E72D297353CC}">
                <c16:uniqueId val="{00000017-7D91-435A-9073-411561C6D6D6}"/>
              </c:ext>
            </c:extLst>
          </c:dPt>
          <c:dPt>
            <c:idx val="2"/>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19-7D91-435A-9073-411561C6D6D6}"/>
              </c:ext>
            </c:extLst>
          </c:dPt>
          <c:dPt>
            <c:idx val="3"/>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1B-7D91-435A-9073-411561C6D6D6}"/>
              </c:ext>
            </c:extLst>
          </c:dPt>
          <c:dPt>
            <c:idx val="4"/>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1D-7D91-435A-9073-411561C6D6D6}"/>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1F-7D91-435A-9073-411561C6D6D6}"/>
              </c:ext>
            </c:extLst>
          </c:dPt>
          <c:dLbls>
            <c:dLbl>
              <c:idx val="0"/>
              <c:tx>
                <c:rich>
                  <a:bodyPr/>
                  <a:lstStyle/>
                  <a:p>
                    <a:pPr>
                      <a:defRPr sz="825" b="1" i="0" u="none" strike="noStrike" baseline="0">
                        <a:solidFill>
                          <a:srgbClr val="000000"/>
                        </a:solidFill>
                        <a:latin typeface="Arial"/>
                        <a:ea typeface="Arial"/>
                        <a:cs typeface="Arial"/>
                      </a:defRPr>
                    </a:pPr>
                    <a:r>
                      <a:rPr lang="en-US"/>
                      <a:t>2</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7D91-435A-9073-411561C6D6D6}"/>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0-7D91-435A-9073-411561C6D6D6}"/>
            </c:ext>
          </c:extLst>
        </c:ser>
        <c:ser>
          <c:idx val="3"/>
          <c:order val="3"/>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2-7D91-435A-9073-411561C6D6D6}"/>
              </c:ext>
            </c:extLst>
          </c:dPt>
          <c:dPt>
            <c:idx val="1"/>
            <c:invertIfNegative val="0"/>
            <c:bubble3D val="0"/>
            <c:spPr>
              <a:solidFill>
                <a:srgbClr val="00C389"/>
              </a:solidFill>
              <a:ln w="12700">
                <a:solidFill>
                  <a:srgbClr val="000000"/>
                </a:solidFill>
                <a:prstDash val="solid"/>
              </a:ln>
            </c:spPr>
            <c:extLst>
              <c:ext xmlns:c16="http://schemas.microsoft.com/office/drawing/2014/chart" uri="{C3380CC4-5D6E-409C-BE32-E72D297353CC}">
                <c16:uniqueId val="{00000024-7D91-435A-9073-411561C6D6D6}"/>
              </c:ext>
            </c:extLst>
          </c:dPt>
          <c:dPt>
            <c:idx val="2"/>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26-7D91-435A-9073-411561C6D6D6}"/>
              </c:ext>
            </c:extLst>
          </c:dPt>
          <c:dPt>
            <c:idx val="3"/>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28-7D91-435A-9073-411561C6D6D6}"/>
              </c:ext>
            </c:extLst>
          </c:dPt>
          <c:dPt>
            <c:idx val="4"/>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2A-7D91-435A-9073-411561C6D6D6}"/>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2C-7D91-435A-9073-411561C6D6D6}"/>
              </c:ext>
            </c:extLst>
          </c:dPt>
          <c:dLbls>
            <c:dLbl>
              <c:idx val="0"/>
              <c:tx>
                <c:rich>
                  <a:bodyPr/>
                  <a:lstStyle/>
                  <a:p>
                    <a:pPr>
                      <a:defRPr sz="825" b="1" i="0" u="none" strike="noStrike" baseline="0">
                        <a:solidFill>
                          <a:srgbClr val="000000"/>
                        </a:solidFill>
                        <a:latin typeface="Arial"/>
                        <a:ea typeface="Arial"/>
                        <a:cs typeface="Arial"/>
                      </a:defRPr>
                    </a:pPr>
                    <a:r>
                      <a:rPr lang="en-US"/>
                      <a:t>3</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7D91-435A-9073-411561C6D6D6}"/>
                </c:ext>
              </c:extLst>
            </c:dLbl>
            <c:spPr>
              <a:noFill/>
              <a:ln w="25400">
                <a:noFill/>
              </a:ln>
            </c:spPr>
            <c:txPr>
              <a:bodyPr/>
              <a:lstStyle/>
              <a:p>
                <a:pPr>
                  <a:defRPr sz="5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2D-7D91-435A-9073-411561C6D6D6}"/>
            </c:ext>
          </c:extLst>
        </c:ser>
        <c:ser>
          <c:idx val="4"/>
          <c:order val="4"/>
          <c:tx>
            <c:v>
            </c:v>
          </c:tx>
          <c:spPr>
            <a:solidFill>
              <a:srgbClr val="660066"/>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2F-7D91-435A-9073-411561C6D6D6}"/>
              </c:ext>
            </c:extLst>
          </c:dPt>
          <c:dPt>
            <c:idx val="1"/>
            <c:invertIfNegative val="0"/>
            <c:bubble3D val="0"/>
            <c:spPr>
              <a:solidFill>
                <a:srgbClr val="889E0A"/>
              </a:solidFill>
              <a:ln w="12700">
                <a:solidFill>
                  <a:srgbClr val="000000"/>
                </a:solidFill>
                <a:prstDash val="solid"/>
              </a:ln>
            </c:spPr>
            <c:extLst>
              <c:ext xmlns:c16="http://schemas.microsoft.com/office/drawing/2014/chart" uri="{C3380CC4-5D6E-409C-BE32-E72D297353CC}">
                <c16:uniqueId val="{00000031-7D91-435A-9073-411561C6D6D6}"/>
              </c:ext>
            </c:extLst>
          </c:dPt>
          <c:dPt>
            <c:idx val="2"/>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3-7D91-435A-9073-411561C6D6D6}"/>
              </c:ext>
            </c:extLst>
          </c:dPt>
          <c:dPt>
            <c:idx val="3"/>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35-7D91-435A-9073-411561C6D6D6}"/>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7-7D91-435A-9073-411561C6D6D6}"/>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39-7D91-435A-9073-411561C6D6D6}"/>
              </c:ext>
            </c:extLst>
          </c:dPt>
          <c:dLbls>
            <c:dLbl>
              <c:idx val="0"/>
              <c:tx>
                <c:rich>
                  <a:bodyPr/>
                  <a:lstStyle/>
                  <a:p>
                    <a:pPr>
                      <a:defRPr sz="825" b="1" i="0" u="none" strike="noStrike" baseline="0">
                        <a:solidFill>
                          <a:srgbClr val="000000"/>
                        </a:solidFill>
                        <a:latin typeface="Arial"/>
                        <a:ea typeface="Arial"/>
                        <a:cs typeface="Arial"/>
                      </a:defRPr>
                    </a:pPr>
                    <a:r>
                      <a:rPr lang="en-US"/>
                      <a:t>4</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7D91-435A-9073-411561C6D6D6}"/>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3A-7D91-435A-9073-411561C6D6D6}"/>
            </c:ext>
          </c:extLst>
        </c:ser>
        <c:ser>
          <c:idx val="17"/>
          <c:order val="5"/>
          <c:tx>
            <c:v>
            </c:v>
          </c:tx>
          <c:spPr>
            <a:solidFill>
              <a:srgbClr val="CCFFFF"/>
            </a:solidFill>
            <a:ln w="12700">
              <a:solidFill>
                <a:srgbClr val="000000"/>
              </a:solidFill>
              <a:prstDash val="solid"/>
            </a:ln>
          </c:spPr>
          <c:invertIfNegative val="0"/>
          <c:dPt>
            <c:idx val="0"/>
            <c:invertIfNegative val="0"/>
            <c:bubble3D val="0"/>
            <c:spPr>
              <a:solidFill>
                <a:srgbClr val="C0C0C0"/>
              </a:solidFill>
              <a:ln w="12700">
                <a:solidFill>
                  <a:srgbClr val="000000"/>
                </a:solidFill>
                <a:prstDash val="solid"/>
              </a:ln>
            </c:spPr>
            <c:extLst>
              <c:ext xmlns:c16="http://schemas.microsoft.com/office/drawing/2014/chart" uri="{C3380CC4-5D6E-409C-BE32-E72D297353CC}">
                <c16:uniqueId val="{0000003C-7D91-435A-9073-411561C6D6D6}"/>
              </c:ext>
            </c:extLst>
          </c:dPt>
          <c:dPt>
            <c:idx val="1"/>
            <c:invertIfNegative val="0"/>
            <c:bubble3D val="0"/>
            <c:spPr>
              <a:solidFill>
                <a:srgbClr val="FFB81C"/>
              </a:solidFill>
              <a:ln w="12700">
                <a:solidFill>
                  <a:srgbClr val="000000"/>
                </a:solidFill>
                <a:prstDash val="solid"/>
              </a:ln>
            </c:spPr>
            <c:extLst>
              <c:ext xmlns:c16="http://schemas.microsoft.com/office/drawing/2014/chart" uri="{C3380CC4-5D6E-409C-BE32-E72D297353CC}">
                <c16:uniqueId val="{0000003E-7D91-435A-9073-411561C6D6D6}"/>
              </c:ext>
            </c:extLst>
          </c:dPt>
          <c:dPt>
            <c:idx val="2"/>
            <c:invertIfNegative val="0"/>
            <c:bubble3D val="0"/>
            <c:spPr>
              <a:solidFill>
                <a:srgbClr val="FF8500"/>
              </a:solidFill>
              <a:ln w="12700">
                <a:solidFill>
                  <a:srgbClr val="000000"/>
                </a:solidFill>
                <a:prstDash val="solid"/>
              </a:ln>
            </c:spPr>
            <c:extLst>
              <c:ext xmlns:c16="http://schemas.microsoft.com/office/drawing/2014/chart" uri="{C3380CC4-5D6E-409C-BE32-E72D297353CC}">
                <c16:uniqueId val="{00000040-7D91-435A-9073-411561C6D6D6}"/>
              </c:ext>
            </c:extLst>
          </c:dPt>
          <c:dPt>
            <c:idx val="3"/>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2-7D91-435A-9073-411561C6D6D6}"/>
              </c:ext>
            </c:extLst>
          </c:dPt>
          <c:dPt>
            <c:idx val="4"/>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4-7D91-435A-9073-411561C6D6D6}"/>
              </c:ext>
            </c:extLst>
          </c:dPt>
          <c:dPt>
            <c:idx val="5"/>
            <c:invertIfNegative val="0"/>
            <c:bubble3D val="0"/>
            <c:spPr>
              <a:solidFill>
                <a:srgbClr val="A31E22"/>
              </a:solidFill>
              <a:ln w="12700">
                <a:solidFill>
                  <a:srgbClr val="000000"/>
                </a:solidFill>
                <a:prstDash val="solid"/>
              </a:ln>
            </c:spPr>
            <c:extLst>
              <c:ext xmlns:c16="http://schemas.microsoft.com/office/drawing/2014/chart" uri="{C3380CC4-5D6E-409C-BE32-E72D297353CC}">
                <c16:uniqueId val="{00000046-7D91-435A-9073-411561C6D6D6}"/>
              </c:ext>
            </c:extLst>
          </c:dPt>
          <c:dLbls>
            <c:dLbl>
              <c:idx val="0"/>
              <c:tx>
                <c:rich>
                  <a:bodyPr/>
                  <a:lstStyle/>
                  <a:p>
                    <a:pPr>
                      <a:defRPr sz="825" b="1" i="0" u="none" strike="noStrike" baseline="0">
                        <a:solidFill>
                          <a:srgbClr val="000000"/>
                        </a:solidFill>
                        <a:latin typeface="Arial"/>
                        <a:ea typeface="Arial"/>
                        <a:cs typeface="Arial"/>
                      </a:defRPr>
                    </a:pPr>
                    <a:r>
                      <a:rPr lang="en-US"/>
                      <a:t>5</a:t>
                    </a:r>
                  </a:p>
                </c:rich>
              </c:tx>
              <c:spPr>
                <a:noFill/>
                <a:ln w="25400">
                  <a:noFill/>
                </a:ln>
              </c:spP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7D91-435A-9073-411561C6D6D6}"/>
                </c:ext>
              </c:extLst>
            </c:dLbl>
            <c:spPr>
              <a:noFill/>
              <a:ln w="25400">
                <a:noFill/>
              </a:ln>
            </c:spPr>
            <c:txPr>
              <a:bodyPr/>
              <a:lstStyle/>
              <a:p>
                <a:pPr>
                  <a:defRPr sz="825" b="0"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6"/>
              <c:pt idx="0">
                <c:v>1</c:v>
              </c:pt>
              <c:pt idx="1">
                <c:v>2</c:v>
              </c:pt>
              <c:pt idx="2">
                <c:v>3</c:v>
              </c:pt>
              <c:pt idx="3">
                <c:v>4</c:v>
              </c:pt>
              <c:pt idx="4">
                <c:v>5</c:v>
              </c:pt>
              <c:pt idx="5">
                <c:v>6</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47-7D91-435A-9073-411561C6D6D6}"/>
            </c:ext>
          </c:extLst>
        </c:ser>
        <c:dLbls>
          <c:showLegendKey val="0"/>
          <c:showVal val="0"/>
          <c:showCatName val="0"/>
          <c:showSerName val="0"/>
          <c:showPercent val="0"/>
          <c:showBubbleSize val="0"/>
        </c:dLbls>
        <c:gapWidth val="0"/>
        <c:overlap val="100"/>
        <c:axId val="190102528"/>
        <c:axId val="190121088"/>
      </c:barChart>
      <c:scatterChart>
        <c:scatterStyle val="lineMarker"/>
        <c:varyColors val="0"/>
        <c:ser>
          <c:idx val="5"/>
          <c:order val="6"/>
          <c:tx>
            <c:v>Before</c:v>
          </c:tx>
          <c:spPr>
            <a:ln w="28575">
              <a:solidFill>
                <a:schemeClr val="tx2"/>
              </a:solidFill>
            </a:ln>
          </c:spPr>
          <c:marker>
            <c:symbol val="diamond"/>
            <c:size val="15"/>
            <c:spPr>
              <a:solidFill>
                <a:schemeClr val="tx2"/>
              </a:solidFill>
              <a:ln>
                <a:solidFill>
                  <a:schemeClr val="tx2"/>
                </a:solidFill>
                <a:prstDash val="solid"/>
              </a:ln>
              <a:effectLst>
                <a:outerShdw dist="35921" dir="2700000" algn="br">
                  <a:srgbClr val="000000"/>
                </a:outerShdw>
              </a:effectLst>
            </c:spPr>
          </c:marker>
          <c:dLbls>
            <c:dLbl>
              <c:idx val="0"/>
              <c:layout>
                <c:manualLayout>
                  <c:x val="-8.1677894100709192E-2"/>
                  <c:y val="6.62396254522238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8-7D91-435A-9073-411561C6D6D6}"/>
                </c:ext>
              </c:extLst>
            </c:dLbl>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Disasters'!$D$5</c:f>
              <c:numCache>
                <c:formatCode>[$-1010409]General</c:formatCode>
                <c:ptCount val="1"/>
                <c:pt idx="0">
                  <c:v>4</c:v>
                </c:pt>
              </c:numCache>
            </c:numRef>
          </c:xVal>
          <c:yVal>
            <c:numRef>
              <c:f>'IP (3) Disasters'!$D$6</c:f>
              <c:numCache>
                <c:formatCode>[$-1010409]General</c:formatCode>
                <c:ptCount val="1"/>
                <c:pt idx="0">
                  <c:v>4.5</c:v>
                </c:pt>
              </c:numCache>
            </c:numRef>
          </c:yVal>
          <c:smooth val="0"/>
          <c:extLst>
            <c:ext xmlns:c16="http://schemas.microsoft.com/office/drawing/2014/chart" uri="{C3380CC4-5D6E-409C-BE32-E72D297353CC}">
              <c16:uniqueId val="{00000049-7D91-435A-9073-411561C6D6D6}"/>
            </c:ext>
          </c:extLst>
        </c:ser>
        <c:ser>
          <c:idx val="6"/>
          <c:order val="7"/>
          <c:tx>
            <c:v>After</c:v>
          </c:tx>
          <c:spPr>
            <a:ln w="28575">
              <a:noFill/>
            </a:ln>
          </c:spPr>
          <c:marker>
            <c:symbol val="triangle"/>
            <c:size val="15"/>
            <c:spPr>
              <a:solidFill>
                <a:srgbClr val="8064A2"/>
              </a:solidFill>
              <a:ln w="9525">
                <a:noFill/>
              </a:ln>
              <a:effectLst>
                <a:outerShdw dist="35921" dir="2700000" algn="br">
                  <a:srgbClr val="000000"/>
                </a:outerShdw>
              </a:effectLst>
            </c:spPr>
          </c:marker>
          <c:dLbls>
            <c:dLbl>
              <c:idx val="0"/>
              <c:layout>
                <c:manualLayout>
                  <c:x val="-3.9494470774091104E-3"/>
                  <c:y val="9.8423643790088357E-3"/>
                </c:manualLayout>
              </c:layout>
              <c:spPr>
                <a:noFill/>
                <a:ln w="25400">
                  <a:noFill/>
                </a:ln>
              </c:spPr>
              <c:txPr>
                <a:bodyPr/>
                <a:lstStyle/>
                <a:p>
                  <a:pPr algn="l">
                    <a:defRPr sz="825" b="1" i="0" u="none" strike="noStrike" baseline="0">
                      <a:solidFill>
                        <a:sysClr val="windowText" lastClr="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4A-7D91-435A-9073-411561C6D6D6}"/>
                </c:ext>
              </c:extLst>
            </c:dLbl>
            <c:spPr>
              <a:noFill/>
              <a:ln w="25400">
                <a:noFill/>
              </a:ln>
            </c:spPr>
            <c:txPr>
              <a:bodyPr/>
              <a:lstStyle/>
              <a:p>
                <a:pPr>
                  <a:defRPr sz="825" b="1" i="0" u="none" strike="noStrike" baseline="0">
                    <a:solidFill>
                      <a:sysClr val="windowText" lastClr="000000"/>
                    </a:solidFill>
                    <a:latin typeface="Arial"/>
                    <a:ea typeface="Arial"/>
                    <a:cs typeface="Arial"/>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'IP (3) Disasters'!$E$5</c:f>
              <c:numCache>
                <c:formatCode>[$-1010409]General</c:formatCode>
                <c:ptCount val="1"/>
                <c:pt idx="0">
                  <c:v>4</c:v>
                </c:pt>
              </c:numCache>
            </c:numRef>
          </c:xVal>
          <c:yVal>
            <c:numRef>
              <c:f>'IP (3) Disasters'!$E$6</c:f>
              <c:numCache>
                <c:formatCode>[$-1010409]General</c:formatCode>
                <c:ptCount val="1"/>
                <c:pt idx="0">
                  <c:v>3.5</c:v>
                </c:pt>
              </c:numCache>
            </c:numRef>
          </c:yVal>
          <c:smooth val="0"/>
          <c:extLst>
            <c:ext xmlns:c16="http://schemas.microsoft.com/office/drawing/2014/chart" uri="{C3380CC4-5D6E-409C-BE32-E72D297353CC}">
              <c16:uniqueId val="{0000004B-7D91-435A-9073-411561C6D6D6}"/>
            </c:ext>
          </c:extLst>
        </c:ser>
        <c:ser>
          <c:idx val="7"/>
          <c:order val="8"/>
          <c:yVal>
            <c:numRef>
              <c:f>'Risk Matrices'!$E$10</c:f>
              <c:numCache>
                <c:formatCode>[$-1010409]General</c:formatCode>
                <c:ptCount val="1"/>
                <c:pt idx="0">
                  <c:v>0</c:v>
                </c:pt>
              </c:numCache>
            </c:numRef>
          </c:yVal>
          <c:smooth val="0"/>
          <c:extLst>
            <c:ext xmlns:c16="http://schemas.microsoft.com/office/drawing/2014/chart" uri="{C3380CC4-5D6E-409C-BE32-E72D297353CC}">
              <c16:uniqueId val="{0000004C-7D91-435A-9073-411561C6D6D6}"/>
            </c:ext>
          </c:extLst>
        </c:ser>
        <c:ser>
          <c:idx val="8"/>
          <c:order val="9"/>
          <c:yVal>
            <c:numRef>
              <c:f>'Risk Matrices'!$E$10</c:f>
              <c:numCache>
                <c:formatCode>[$-1010409]General</c:formatCode>
                <c:ptCount val="1"/>
                <c:pt idx="0">
                  <c:v>0</c:v>
                </c:pt>
              </c:numCache>
            </c:numRef>
          </c:yVal>
          <c:smooth val="0"/>
          <c:extLst>
            <c:ext xmlns:c16="http://schemas.microsoft.com/office/drawing/2014/chart" uri="{C3380CC4-5D6E-409C-BE32-E72D297353CC}">
              <c16:uniqueId val="{0000004D-7D91-435A-9073-411561C6D6D6}"/>
            </c:ext>
          </c:extLst>
        </c:ser>
        <c:dLbls>
          <c:showLegendKey val="0"/>
          <c:showVal val="0"/>
          <c:showCatName val="0"/>
          <c:showSerName val="0"/>
          <c:showPercent val="0"/>
          <c:showBubbleSize val="0"/>
        </c:dLbls>
        <c:axId val="190123008"/>
        <c:axId val="190132992"/>
      </c:scatterChart>
      <c:catAx>
        <c:axId val="190102528"/>
        <c:scaling>
          <c:orientation val="minMax"/>
        </c:scaling>
        <c:delete val="1"/>
        <c:axPos val="b"/>
        <c:title>
          <c:tx>
            <c:rich>
              <a:bodyPr/>
              <a:lstStyle/>
              <a:p>
                <a:pPr>
                  <a:defRPr sz="900" b="1" i="0" u="none" strike="noStrike" baseline="0">
                    <a:solidFill>
                      <a:srgbClr val="000000"/>
                    </a:solidFill>
                    <a:latin typeface="Arial"/>
                    <a:ea typeface="Arial"/>
                    <a:cs typeface="Arial"/>
                  </a:defRPr>
                </a:pPr>
                <a:r>
                  <a:rPr lang="en-US" sz="900"/>
                  <a:t>Impact</a:t>
                </a:r>
              </a:p>
            </c:rich>
          </c:tx>
          <c:layout>
            <c:manualLayout>
              <c:xMode val="edge"/>
              <c:yMode val="edge"/>
              <c:x val="0.45350538857586364"/>
              <c:y val="0.93416436121160529"/>
            </c:manualLayout>
          </c:layout>
          <c:overlay val="0"/>
          <c:spPr>
            <a:noFill/>
            <a:ln w="25400">
              <a:noFill/>
            </a:ln>
          </c:spPr>
        </c:title>
        <c:numFmt formatCode="General" sourceLinked="0"/>
        <c:majorTickMark val="out"/>
        <c:minorTickMark val="none"/>
        <c:tickLblPos val="nextTo"/>
        <c:crossAx val="190121088"/>
        <c:crosses val="autoZero"/>
        <c:auto val="1"/>
        <c:lblAlgn val="ctr"/>
        <c:lblOffset val="100"/>
        <c:noMultiLvlLbl val="0"/>
      </c:catAx>
      <c:valAx>
        <c:axId val="190121088"/>
        <c:scaling>
          <c:orientation val="minMax"/>
          <c:max val="6"/>
          <c:min val="0"/>
        </c:scaling>
        <c:delete val="1"/>
        <c:axPos val="l"/>
        <c:title>
          <c:tx>
            <c:rich>
              <a:bodyPr/>
              <a:lstStyle/>
              <a:p>
                <a:pPr>
                  <a:defRPr sz="900" b="1" i="0" u="none" strike="noStrike" baseline="0">
                    <a:solidFill>
                      <a:srgbClr val="000000"/>
                    </a:solidFill>
                    <a:latin typeface="Arial"/>
                    <a:ea typeface="Arial"/>
                    <a:cs typeface="Arial"/>
                  </a:defRPr>
                </a:pPr>
                <a:r>
                  <a:rPr lang="en-US" sz="900"/>
                  <a:t>Likelihood</a:t>
                </a:r>
              </a:p>
            </c:rich>
          </c:tx>
          <c:layout>
            <c:manualLayout>
              <c:xMode val="edge"/>
              <c:yMode val="edge"/>
              <c:x val="4.8073561910855966E-3"/>
              <c:y val="0.39261154855643043"/>
            </c:manualLayout>
          </c:layout>
          <c:overlay val="0"/>
          <c:spPr>
            <a:noFill/>
            <a:ln w="25400">
              <a:noFill/>
            </a:ln>
          </c:spPr>
        </c:title>
        <c:numFmt formatCode="General" sourceLinked="1"/>
        <c:majorTickMark val="out"/>
        <c:minorTickMark val="none"/>
        <c:tickLblPos val="nextTo"/>
        <c:crossAx val="190102528"/>
        <c:crosses val="autoZero"/>
        <c:crossBetween val="between"/>
        <c:majorUnit val="1"/>
      </c:valAx>
      <c:valAx>
        <c:axId val="190123008"/>
        <c:scaling>
          <c:orientation val="minMax"/>
        </c:scaling>
        <c:delete val="1"/>
        <c:axPos val="b"/>
        <c:numFmt formatCode="[$-1010409]General" sourceLinked="1"/>
        <c:majorTickMark val="out"/>
        <c:minorTickMark val="none"/>
        <c:tickLblPos val="nextTo"/>
        <c:crossAx val="190132992"/>
        <c:crosses val="autoZero"/>
        <c:crossBetween val="midCat"/>
      </c:valAx>
      <c:valAx>
        <c:axId val="190132992"/>
        <c:scaling>
          <c:orientation val="minMax"/>
          <c:max val="5"/>
        </c:scaling>
        <c:delete val="1"/>
        <c:axPos val="r"/>
        <c:numFmt formatCode="[$-1010409]General" sourceLinked="1"/>
        <c:majorTickMark val="out"/>
        <c:minorTickMark val="none"/>
        <c:tickLblPos val="nextTo"/>
        <c:crossAx val="190123008"/>
        <c:crosses val="max"/>
        <c:crossBetween val="midCat"/>
      </c:valAx>
      <c:spPr>
        <a:noFill/>
        <a:ln w="25400">
          <a:noFill/>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10</xdr:col>
          <xdr:colOff>523875</xdr:colOff>
          <xdr:row>25</xdr:row>
          <xdr:rowOff>19050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0" y="0"/>
              <a:ext cx="6619875" cy="4067175"/>
              <a:chOff x="0" y="0"/>
              <a:chExt cx="7467599" cy="4067175"/>
            </a:xfrm>
          </xdr:grpSpPr>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7467599" cy="4067175"/>
              </a:xfrm>
              <a:prstGeom prst="rect">
                <a:avLst/>
              </a:prstGeom>
              <a:noFill/>
              <a:ln w="9525">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The purpose of this report is to provide you with information and to assist you in your management of risks. It does not imply that no other risks or hazardous conditions exist.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Unless Willis Towers Watson provides express prior written consent; no part of this document should be reproduced, distributed or communicated to any third party. This report, and any advice or recommendations contained herein are based upon conditions observed and information made available during our assignment, but does not constitute legal, regulatory, tax or investment advice. The material contained herein is based upon information believed to be reliable; however no representation or warranty, expressed or implied, as to accuracy or completeness of such information is made and no liability is accepted for direct or indirect loss or damage of whatsoever nature arising out of the use or reading of all or any part of the information contained herein. Implementation of our advice or recommendations is the responsibility of the client.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document may contain loss estimates which are provided on the understanding that estimates are subjective in nature and as such different but equally valid values may be obtained from the same information.</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document is copyright protected and confidential between Willis Towers Watson and the party that has commissioned such report and reproduction in whole or in part is governed by agreement between the parties. Willis Towers Watson does not accept any liability if this document is used for an alternative purpose from which it is intended, nor to any third party in respect of this document.</a:t>
                </a:r>
              </a:p>
            </xdr:txBody>
          </xdr:sp>
          <xdr:sp macro="" textlink="">
            <xdr:nvSpPr>
              <xdr:cNvPr id="4097" name="CheckBoxAgree"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1152524" y="3105150"/>
                <a:ext cx="847725"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Agree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476250</xdr:colOff>
          <xdr:row>18</xdr:row>
          <xdr:rowOff>152400</xdr:rowOff>
        </xdr:from>
        <xdr:to>
          <xdr:col>9</xdr:col>
          <xdr:colOff>238125</xdr:colOff>
          <xdr:row>22</xdr:row>
          <xdr:rowOff>38100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596072</xdr:colOff>
      <xdr:row>5</xdr:row>
      <xdr:rowOff>64993</xdr:rowOff>
    </xdr:from>
    <xdr:to>
      <xdr:col>29</xdr:col>
      <xdr:colOff>372596</xdr:colOff>
      <xdr:row>25</xdr:row>
      <xdr:rowOff>155442</xdr:rowOff>
    </xdr:to>
    <xdr:graphicFrame macro="">
      <xdr:nvGraphicFramePr>
        <xdr:cNvPr id="135699" name="BubbleAfter">
          <a:extLst>
            <a:ext uri="{FF2B5EF4-FFF2-40B4-BE49-F238E27FC236}">
              <a16:creationId xmlns:a16="http://schemas.microsoft.com/office/drawing/2014/main" id="{00000000-0008-0000-0200-00001312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8</xdr:col>
      <xdr:colOff>1143000</xdr:colOff>
      <xdr:row>25</xdr:row>
      <xdr:rowOff>142875</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8</xdr:col>
      <xdr:colOff>1428750</xdr:colOff>
      <xdr:row>2</xdr:row>
      <xdr:rowOff>381001</xdr:rowOff>
    </xdr:from>
    <xdr:ext cx="3605893" cy="2041071"/>
    <xdr:graphicFrame macro="">
      <xdr:nvGraphicFramePr>
        <xdr:cNvPr id="4" name="Chart 1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15</xdr:col>
      <xdr:colOff>1246414</xdr:colOff>
      <xdr:row>2</xdr:row>
      <xdr:rowOff>385085</xdr:rowOff>
    </xdr:from>
    <xdr:ext cx="3692979" cy="2064202"/>
    <xdr:graphicFrame macro="">
      <xdr:nvGraphicFramePr>
        <xdr:cNvPr id="5" name="Chart 1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2272393</xdr:colOff>
      <xdr:row>2</xdr:row>
      <xdr:rowOff>353788</xdr:rowOff>
    </xdr:from>
    <xdr:ext cx="3401785" cy="2204355"/>
    <xdr:graphicFrame macro="">
      <xdr:nvGraphicFramePr>
        <xdr:cNvPr id="6" name="Chart 14">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5.xml><?xml version="1.0" encoding="utf-8"?>
<xdr:wsDr xmlns:xdr="http://schemas.openxmlformats.org/drawingml/2006/spreadsheetDrawing" xmlns:a="http://schemas.openxmlformats.org/drawingml/2006/main">
  <xdr:oneCellAnchor>
    <xdr:from>
      <xdr:col>8</xdr:col>
      <xdr:colOff>1428750</xdr:colOff>
      <xdr:row>2</xdr:row>
      <xdr:rowOff>381001</xdr:rowOff>
    </xdr:from>
    <xdr:ext cx="3605893" cy="2041071"/>
    <xdr:graphicFrame macro="">
      <xdr:nvGraphicFramePr>
        <xdr:cNvPr id="2" name="Chart 1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15</xdr:col>
      <xdr:colOff>1246414</xdr:colOff>
      <xdr:row>2</xdr:row>
      <xdr:rowOff>385085</xdr:rowOff>
    </xdr:from>
    <xdr:ext cx="3692979" cy="2064202"/>
    <xdr:graphicFrame macro="">
      <xdr:nvGraphicFramePr>
        <xdr:cNvPr id="3" name="Chart 1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2272393</xdr:colOff>
      <xdr:row>2</xdr:row>
      <xdr:rowOff>353788</xdr:rowOff>
    </xdr:from>
    <xdr:ext cx="3401785" cy="2204355"/>
    <xdr:graphicFrame macro="">
      <xdr:nvGraphicFramePr>
        <xdr:cNvPr id="4" name="Chart 1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6.xml><?xml version="1.0" encoding="utf-8"?>
<xdr:wsDr xmlns:xdr="http://schemas.openxmlformats.org/drawingml/2006/spreadsheetDrawing" xmlns:a="http://schemas.openxmlformats.org/drawingml/2006/main">
  <xdr:oneCellAnchor>
    <xdr:from>
      <xdr:col>8</xdr:col>
      <xdr:colOff>1428750</xdr:colOff>
      <xdr:row>2</xdr:row>
      <xdr:rowOff>381001</xdr:rowOff>
    </xdr:from>
    <xdr:ext cx="3605893" cy="2041071"/>
    <xdr:graphicFrame macro="">
      <xdr:nvGraphicFramePr>
        <xdr:cNvPr id="2" name="Chart 1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15</xdr:col>
      <xdr:colOff>1246414</xdr:colOff>
      <xdr:row>2</xdr:row>
      <xdr:rowOff>385085</xdr:rowOff>
    </xdr:from>
    <xdr:ext cx="3692979" cy="2064202"/>
    <xdr:graphicFrame macro="">
      <xdr:nvGraphicFramePr>
        <xdr:cNvPr id="3" name="Chart 14">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2272393</xdr:colOff>
      <xdr:row>2</xdr:row>
      <xdr:rowOff>353788</xdr:rowOff>
    </xdr:from>
    <xdr:ext cx="3401785" cy="2204355"/>
    <xdr:graphicFrame macro="">
      <xdr:nvGraphicFramePr>
        <xdr:cNvPr id="4" name="Chart 1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7.xml><?xml version="1.0" encoding="utf-8"?>
<xdr:wsDr xmlns:xdr="http://schemas.openxmlformats.org/drawingml/2006/spreadsheetDrawing" xmlns:a="http://schemas.openxmlformats.org/drawingml/2006/main">
  <xdr:oneCellAnchor>
    <xdr:from>
      <xdr:col>8</xdr:col>
      <xdr:colOff>1428750</xdr:colOff>
      <xdr:row>2</xdr:row>
      <xdr:rowOff>381001</xdr:rowOff>
    </xdr:from>
    <xdr:ext cx="3605893" cy="2041071"/>
    <xdr:graphicFrame macro="">
      <xdr:nvGraphicFramePr>
        <xdr:cNvPr id="2" name="Chart 14">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15</xdr:col>
      <xdr:colOff>1246414</xdr:colOff>
      <xdr:row>2</xdr:row>
      <xdr:rowOff>385085</xdr:rowOff>
    </xdr:from>
    <xdr:ext cx="3692979" cy="2064202"/>
    <xdr:graphicFrame macro="">
      <xdr:nvGraphicFramePr>
        <xdr:cNvPr id="3" name="Chart 14">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2272393</xdr:colOff>
      <xdr:row>2</xdr:row>
      <xdr:rowOff>353788</xdr:rowOff>
    </xdr:from>
    <xdr:ext cx="3401785" cy="2204355"/>
    <xdr:graphicFrame macro="">
      <xdr:nvGraphicFramePr>
        <xdr:cNvPr id="4" name="Chart 14">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J5:S7"/>
  <sheetViews>
    <sheetView workbookViewId="0"/>
  </sheetViews>
  <sheetFormatPr defaultRowHeight="12.75"/>
  <sheetData>
    <row r="5" spans="10:19">
      <c r="J5" s="122"/>
      <c r="M5" s="122"/>
      <c r="P5" s="122"/>
      <c r="S5" s="122"/>
    </row>
    <row r="6" spans="10:19">
      <c r="J6" s="122"/>
      <c r="M6" s="122"/>
      <c r="P6" s="122"/>
      <c r="S6" s="122"/>
    </row>
    <row r="7" spans="10:19">
      <c r="J7" s="122"/>
      <c r="M7" s="122"/>
      <c r="P7" s="122"/>
      <c r="S7" s="12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autoFill="0" autoPict="0">
                <anchor moveWithCells="1" sizeWithCells="1">
                  <from>
                    <xdr:col>0</xdr:col>
                    <xdr:colOff>0</xdr:colOff>
                    <xdr:row>0</xdr:row>
                    <xdr:rowOff>0</xdr:rowOff>
                  </from>
                  <to>
                    <xdr:col>10</xdr:col>
                    <xdr:colOff>523875</xdr:colOff>
                    <xdr:row>25</xdr:row>
                    <xdr:rowOff>19050</xdr:rowOff>
                  </to>
                </anchor>
              </controlPr>
            </control>
          </mc:Choice>
        </mc:AlternateContent>
        <mc:AlternateContent xmlns:mc="http://schemas.openxmlformats.org/markup-compatibility/2006">
          <mc:Choice Requires="x14">
            <control shapeId="4097" r:id="rId5" name="CheckBoxAgree">
              <controlPr defaultSize="0" autoFill="0" autoLine="0" autoPict="0">
                <anchor moveWithCells="1">
                  <from>
                    <xdr:col>1</xdr:col>
                    <xdr:colOff>409575</xdr:colOff>
                    <xdr:row>19</xdr:row>
                    <xdr:rowOff>28575</xdr:rowOff>
                  </from>
                  <to>
                    <xdr:col>2</xdr:col>
                    <xdr:colOff>552450</xdr:colOff>
                    <xdr:row>21</xdr:row>
                    <xdr:rowOff>9525</xdr:rowOff>
                  </to>
                </anchor>
              </controlPr>
            </control>
          </mc:Choice>
        </mc:AlternateContent>
        <mc:AlternateContent xmlns:mc="http://schemas.openxmlformats.org/markup-compatibility/2006">
          <mc:Choice Requires="x14">
            <control shapeId="4102" r:id="rId6" name="Button 6">
              <controlPr defaultSize="0" print="0" autoFill="0" autoPict="0" macro="[0]!UserAgreement">
                <anchor moveWithCells="1" sizeWithCells="1">
                  <from>
                    <xdr:col>6</xdr:col>
                    <xdr:colOff>476250</xdr:colOff>
                    <xdr:row>18</xdr:row>
                    <xdr:rowOff>152400</xdr:rowOff>
                  </from>
                  <to>
                    <xdr:col>9</xdr:col>
                    <xdr:colOff>238125</xdr:colOff>
                    <xdr:row>22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pageSetUpPr fitToPage="1"/>
  </sheetPr>
  <dimension ref="A1:U557"/>
  <sheetViews>
    <sheetView showGridLines="0" tabSelected="1" zoomScaleNormal="100" workbookViewId="0">
      <pane ySplit="4" topLeftCell="A5" activePane="bottomLeft" state="frozen"/>
      <selection pane="bottomLeft"/>
    </sheetView>
  </sheetViews>
  <sheetFormatPr defaultColWidth="9.140625" defaultRowHeight="12"/>
  <cols>
    <col min="1" max="1" width="4.85546875" style="74" customWidth="1"/>
    <col min="2" max="2" width="40.85546875" style="74" customWidth="1"/>
    <col min="3" max="3" width="13.7109375" style="75" bestFit="1" customWidth="1"/>
    <col min="4" max="4" width="18.85546875" style="76" customWidth="1"/>
    <col min="5" max="5" width="12.85546875" style="76" customWidth="1"/>
    <col min="6" max="6" width="12.140625" style="76" customWidth="1"/>
    <col min="7" max="7" width="18" style="76" customWidth="1"/>
    <col min="8" max="19" width="6" style="74" customWidth="1"/>
    <col min="20" max="20" width="9.140625" style="108" customWidth="1"/>
    <col min="21" max="21" width="40.28515625" style="108" customWidth="1"/>
    <col min="22" max="23" width="9.140625" style="35" customWidth="1"/>
    <col min="24" max="16384" width="9.140625" style="35"/>
  </cols>
  <sheetData>
    <row r="1" spans="1:21" s="70" customFormat="1" ht="12.75">
      <c r="A1" s="40" t="s">
        <v>0</v>
      </c>
      <c r="B1" s="3" t="s">
        <v>1</v>
      </c>
      <c r="C1" s="38" t="s">
        <v>2</v>
      </c>
      <c r="D1" s="33"/>
      <c r="E1" s="38"/>
      <c r="F1" s="38"/>
      <c r="G1" s="38"/>
      <c r="H1" s="36"/>
      <c r="I1" s="36"/>
      <c r="J1" s="36"/>
      <c r="K1" s="77"/>
      <c r="L1" s="33"/>
      <c r="M1" s="78"/>
      <c r="N1" s="77"/>
      <c r="O1" s="33"/>
      <c r="P1" s="78"/>
      <c r="Q1" s="77"/>
      <c r="R1" s="33"/>
      <c r="S1" s="78"/>
      <c r="T1" s="106"/>
      <c r="U1" s="106"/>
    </row>
    <row r="2" spans="1:21" s="70" customFormat="1" ht="12.75">
      <c r="A2" s="41"/>
      <c r="B2" s="2" t="s">
        <v>3</v>
      </c>
      <c r="C2" s="37">
        <v>43815</v>
      </c>
      <c r="D2" s="34"/>
      <c r="E2" s="39"/>
      <c r="F2" s="123"/>
      <c r="G2" s="39"/>
      <c r="H2" s="34"/>
      <c r="I2" s="34"/>
      <c r="J2" s="34"/>
      <c r="K2" s="79"/>
      <c r="L2" s="80"/>
      <c r="M2" s="124"/>
      <c r="N2" s="79"/>
      <c r="O2" s="80"/>
      <c r="P2" s="81"/>
      <c r="Q2" s="79"/>
      <c r="R2" s="80"/>
      <c r="S2" s="81"/>
      <c r="T2" s="122"/>
      <c r="U2" s="106"/>
    </row>
    <row r="3" spans="1:21" s="70" customFormat="1" ht="15" customHeight="1">
      <c r="A3" s="42"/>
      <c r="B3" s="4" t="s">
        <v>4</v>
      </c>
      <c r="C3" s="133" t="s">
        <v>5</v>
      </c>
      <c r="D3" s="133"/>
      <c r="E3" s="133"/>
      <c r="F3" s="134"/>
      <c r="G3" s="135"/>
      <c r="H3" s="131" t="s">
        <v>6</v>
      </c>
      <c r="I3" s="131"/>
      <c r="J3" s="131"/>
      <c r="K3" s="131" t="s">
        <v>7</v>
      </c>
      <c r="L3" s="131"/>
      <c r="M3" s="132"/>
      <c r="N3" s="131" t="s">
        <v>8</v>
      </c>
      <c r="O3" s="131"/>
      <c r="P3" s="131"/>
      <c r="Q3" s="131" t="s">
        <v>9</v>
      </c>
      <c r="R3" s="131"/>
      <c r="S3" s="131"/>
      <c r="T3" s="122"/>
      <c r="U3" s="106"/>
    </row>
    <row r="4" spans="1:21" s="73" customFormat="1" ht="12.75">
      <c r="A4" s="71" t="s">
        <v>10</v>
      </c>
      <c r="B4" s="71" t="s">
        <v>11</v>
      </c>
      <c r="C4" s="71" t="s">
        <v>12</v>
      </c>
      <c r="D4" s="72" t="s">
        <v>13</v>
      </c>
      <c r="E4" s="72" t="s">
        <v>14</v>
      </c>
      <c r="F4" s="72" t="s">
        <v>15</v>
      </c>
      <c r="G4" s="72" t="s">
        <v>16</v>
      </c>
      <c r="H4" s="71" t="s">
        <v>17</v>
      </c>
      <c r="I4" s="71" t="s">
        <v>18</v>
      </c>
      <c r="J4" s="71" t="s">
        <v>19</v>
      </c>
      <c r="K4" s="71" t="s">
        <v>17</v>
      </c>
      <c r="L4" s="71" t="s">
        <v>18</v>
      </c>
      <c r="M4" s="71" t="s">
        <v>19</v>
      </c>
      <c r="N4" s="71" t="s">
        <v>17</v>
      </c>
      <c r="O4" s="71" t="s">
        <v>18</v>
      </c>
      <c r="P4" s="71" t="s">
        <v>19</v>
      </c>
      <c r="Q4" s="71" t="s">
        <v>17</v>
      </c>
      <c r="R4" s="71" t="s">
        <v>18</v>
      </c>
      <c r="S4" s="71" t="s">
        <v>19</v>
      </c>
      <c r="T4" s="107"/>
      <c r="U4" s="107"/>
    </row>
    <row r="5" spans="1:21" ht="24">
      <c r="A5" s="74">
        <v>1</v>
      </c>
      <c r="B5" s="74" t="s">
        <v>20</v>
      </c>
      <c r="C5" s="75" t="s">
        <v>21</v>
      </c>
      <c r="H5" s="130">
        <f>8/2</f>
        <v>4</v>
      </c>
      <c r="I5" s="117">
        <v>3</v>
      </c>
      <c r="J5" s="125">
        <v>12</v>
      </c>
      <c r="K5" s="117">
        <v>4</v>
      </c>
      <c r="L5" s="117">
        <v>2</v>
      </c>
      <c r="M5" s="126">
        <v>8</v>
      </c>
      <c r="N5" s="117">
        <v>3</v>
      </c>
      <c r="O5" s="117">
        <v>3</v>
      </c>
      <c r="P5" s="126">
        <v>9</v>
      </c>
      <c r="Q5" s="117">
        <v>2</v>
      </c>
      <c r="R5" s="117">
        <v>4</v>
      </c>
      <c r="S5" s="126">
        <v>8</v>
      </c>
      <c r="T5" s="108">
        <v>41195</v>
      </c>
      <c r="U5" s="108" t="s">
        <v>20</v>
      </c>
    </row>
    <row r="6" spans="1:21" ht="24">
      <c r="A6" s="74">
        <v>2</v>
      </c>
      <c r="B6" s="74" t="s">
        <v>22</v>
      </c>
      <c r="C6" s="75" t="s">
        <v>23</v>
      </c>
      <c r="H6" s="117">
        <v>5</v>
      </c>
      <c r="I6" s="117">
        <v>2</v>
      </c>
      <c r="J6" s="127">
        <v>10</v>
      </c>
      <c r="K6" s="117"/>
      <c r="L6" s="117"/>
      <c r="M6" s="121">
        <f t="shared" ref="M6:M14" si="0">K6*L6</f>
        <v>0</v>
      </c>
      <c r="N6" s="117"/>
      <c r="O6" s="117"/>
      <c r="P6" s="121">
        <f t="shared" ref="P6:P12" si="1">N6*O6</f>
        <v>0</v>
      </c>
      <c r="Q6" s="117"/>
      <c r="R6" s="117"/>
      <c r="S6" s="121">
        <f t="shared" ref="S6:S13" si="2">Q6*R6</f>
        <v>0</v>
      </c>
      <c r="T6" s="108">
        <v>41196</v>
      </c>
      <c r="U6" s="108" t="s">
        <v>22</v>
      </c>
    </row>
    <row r="7" spans="1:21" ht="14.25">
      <c r="A7" s="74">
        <v>3</v>
      </c>
      <c r="B7" s="74" t="s">
        <v>24</v>
      </c>
      <c r="C7" s="75" t="s">
        <v>25</v>
      </c>
      <c r="H7" s="117">
        <v>3</v>
      </c>
      <c r="I7" s="117">
        <v>4</v>
      </c>
      <c r="J7" s="125">
        <v>12</v>
      </c>
      <c r="K7" s="117">
        <v>3</v>
      </c>
      <c r="L7" s="117">
        <v>3</v>
      </c>
      <c r="M7" s="126">
        <v>9</v>
      </c>
      <c r="N7" s="117">
        <v>2</v>
      </c>
      <c r="O7" s="117">
        <v>1</v>
      </c>
      <c r="P7" s="128">
        <v>2</v>
      </c>
      <c r="Q7" s="117">
        <v>3</v>
      </c>
      <c r="R7" s="117">
        <v>2</v>
      </c>
      <c r="S7" s="129">
        <v>6</v>
      </c>
      <c r="T7" s="108">
        <v>41197</v>
      </c>
      <c r="U7" s="108" t="s">
        <v>24</v>
      </c>
    </row>
    <row r="8" spans="1:21" ht="14.25">
      <c r="H8" s="117"/>
      <c r="I8" s="117"/>
      <c r="J8" s="118">
        <f t="shared" ref="J8:J68" si="3">H8*I8</f>
        <v>0</v>
      </c>
      <c r="K8" s="117"/>
      <c r="L8" s="117"/>
      <c r="M8" s="118">
        <f t="shared" si="0"/>
        <v>0</v>
      </c>
      <c r="N8" s="117"/>
      <c r="O8" s="117"/>
      <c r="P8" s="118">
        <f t="shared" si="1"/>
        <v>0</v>
      </c>
      <c r="Q8" s="117"/>
      <c r="R8" s="117"/>
      <c r="S8" s="118">
        <f t="shared" si="2"/>
        <v>0</v>
      </c>
    </row>
    <row r="9" spans="1:21" ht="14.25">
      <c r="H9" s="117"/>
      <c r="I9" s="117"/>
      <c r="J9" s="118">
        <f t="shared" si="3"/>
        <v>0</v>
      </c>
      <c r="K9" s="117"/>
      <c r="L9" s="117"/>
      <c r="M9" s="118">
        <f t="shared" si="0"/>
        <v>0</v>
      </c>
      <c r="N9" s="117"/>
      <c r="O9" s="117"/>
      <c r="P9" s="118">
        <f t="shared" si="1"/>
        <v>0</v>
      </c>
      <c r="Q9" s="117"/>
      <c r="R9" s="117"/>
      <c r="S9" s="118">
        <f t="shared" si="2"/>
        <v>0</v>
      </c>
    </row>
    <row r="10" spans="1:21" ht="14.25">
      <c r="H10" s="117"/>
      <c r="I10" s="117"/>
      <c r="J10" s="118">
        <f t="shared" si="3"/>
        <v>0</v>
      </c>
      <c r="K10" s="117"/>
      <c r="L10" s="117"/>
      <c r="M10" s="118">
        <f t="shared" si="0"/>
        <v>0</v>
      </c>
      <c r="N10" s="117"/>
      <c r="O10" s="117"/>
      <c r="P10" s="118">
        <f t="shared" si="1"/>
        <v>0</v>
      </c>
      <c r="Q10" s="117"/>
      <c r="R10" s="117"/>
      <c r="S10" s="118">
        <f t="shared" si="2"/>
        <v>0</v>
      </c>
    </row>
    <row r="11" spans="1:21" ht="14.25">
      <c r="H11" s="117"/>
      <c r="I11" s="117"/>
      <c r="J11" s="118">
        <f t="shared" si="3"/>
        <v>0</v>
      </c>
      <c r="K11" s="117"/>
      <c r="L11" s="117"/>
      <c r="M11" s="118">
        <f t="shared" si="0"/>
        <v>0</v>
      </c>
      <c r="N11" s="117"/>
      <c r="O11" s="117"/>
      <c r="P11" s="118">
        <f t="shared" si="1"/>
        <v>0</v>
      </c>
      <c r="Q11" s="117"/>
      <c r="R11" s="117"/>
      <c r="S11" s="118">
        <f t="shared" si="2"/>
        <v>0</v>
      </c>
    </row>
    <row r="12" spans="1:21" ht="14.25">
      <c r="H12" s="117"/>
      <c r="I12" s="117"/>
      <c r="J12" s="118">
        <f t="shared" si="3"/>
        <v>0</v>
      </c>
      <c r="K12" s="117"/>
      <c r="L12" s="117"/>
      <c r="M12" s="118">
        <f t="shared" si="0"/>
        <v>0</v>
      </c>
      <c r="N12" s="117"/>
      <c r="O12" s="117"/>
      <c r="P12" s="118">
        <f t="shared" si="1"/>
        <v>0</v>
      </c>
      <c r="Q12" s="117"/>
      <c r="R12" s="117"/>
      <c r="S12" s="118">
        <f t="shared" si="2"/>
        <v>0</v>
      </c>
    </row>
    <row r="13" spans="1:21" ht="14.25">
      <c r="H13" s="117"/>
      <c r="I13" s="117"/>
      <c r="J13" s="118">
        <f t="shared" si="3"/>
        <v>0</v>
      </c>
      <c r="K13" s="117"/>
      <c r="L13" s="117"/>
      <c r="M13" s="118">
        <f t="shared" si="0"/>
        <v>0</v>
      </c>
      <c r="N13" s="117"/>
      <c r="O13" s="117"/>
      <c r="P13" s="118">
        <f t="shared" ref="P13:P76" si="4">N13*O13</f>
        <v>0</v>
      </c>
      <c r="Q13" s="117"/>
      <c r="R13" s="117"/>
      <c r="S13" s="118">
        <f t="shared" si="2"/>
        <v>0</v>
      </c>
    </row>
    <row r="14" spans="1:21" ht="14.25">
      <c r="H14" s="117"/>
      <c r="I14" s="117"/>
      <c r="J14" s="118">
        <f t="shared" si="3"/>
        <v>0</v>
      </c>
      <c r="K14" s="117"/>
      <c r="L14" s="117"/>
      <c r="M14" s="118">
        <f t="shared" si="0"/>
        <v>0</v>
      </c>
      <c r="N14" s="117"/>
      <c r="O14" s="117"/>
      <c r="P14" s="118">
        <f t="shared" si="4"/>
        <v>0</v>
      </c>
      <c r="Q14" s="117"/>
      <c r="R14" s="117"/>
      <c r="S14" s="118">
        <f t="shared" ref="S14:S77" si="5">Q14*R14</f>
        <v>0</v>
      </c>
    </row>
    <row r="15" spans="1:21" ht="14.25">
      <c r="H15" s="117"/>
      <c r="I15" s="117"/>
      <c r="J15" s="118">
        <f t="shared" si="3"/>
        <v>0</v>
      </c>
      <c r="K15" s="117"/>
      <c r="L15" s="117"/>
      <c r="M15" s="118">
        <f t="shared" ref="M15:M78" si="6">K15*L15</f>
        <v>0</v>
      </c>
      <c r="N15" s="117"/>
      <c r="O15" s="117"/>
      <c r="P15" s="118">
        <f t="shared" si="4"/>
        <v>0</v>
      </c>
      <c r="Q15" s="117"/>
      <c r="R15" s="117"/>
      <c r="S15" s="118">
        <f t="shared" si="5"/>
        <v>0</v>
      </c>
    </row>
    <row r="16" spans="1:21" ht="14.25">
      <c r="H16" s="117"/>
      <c r="I16" s="117"/>
      <c r="J16" s="118">
        <f t="shared" si="3"/>
        <v>0</v>
      </c>
      <c r="K16" s="117"/>
      <c r="L16" s="117"/>
      <c r="M16" s="118">
        <f t="shared" si="6"/>
        <v>0</v>
      </c>
      <c r="N16" s="117"/>
      <c r="O16" s="117"/>
      <c r="P16" s="118">
        <f t="shared" si="4"/>
        <v>0</v>
      </c>
      <c r="Q16" s="117"/>
      <c r="R16" s="117"/>
      <c r="S16" s="118">
        <f t="shared" si="5"/>
        <v>0</v>
      </c>
    </row>
    <row r="17" spans="8:19" ht="14.25">
      <c r="H17" s="117"/>
      <c r="I17" s="117"/>
      <c r="J17" s="118">
        <f t="shared" si="3"/>
        <v>0</v>
      </c>
      <c r="K17" s="117"/>
      <c r="L17" s="117"/>
      <c r="M17" s="118">
        <f t="shared" si="6"/>
        <v>0</v>
      </c>
      <c r="N17" s="117"/>
      <c r="O17" s="117"/>
      <c r="P17" s="118">
        <f t="shared" si="4"/>
        <v>0</v>
      </c>
      <c r="Q17" s="117"/>
      <c r="R17" s="117"/>
      <c r="S17" s="118">
        <f t="shared" si="5"/>
        <v>0</v>
      </c>
    </row>
    <row r="18" spans="8:19" ht="14.25">
      <c r="H18" s="117"/>
      <c r="I18" s="117"/>
      <c r="J18" s="118">
        <f t="shared" si="3"/>
        <v>0</v>
      </c>
      <c r="K18" s="117"/>
      <c r="L18" s="117"/>
      <c r="M18" s="118">
        <f t="shared" si="6"/>
        <v>0</v>
      </c>
      <c r="N18" s="117"/>
      <c r="O18" s="117"/>
      <c r="P18" s="118">
        <f t="shared" si="4"/>
        <v>0</v>
      </c>
      <c r="Q18" s="117"/>
      <c r="R18" s="117"/>
      <c r="S18" s="118">
        <f t="shared" si="5"/>
        <v>0</v>
      </c>
    </row>
    <row r="19" spans="8:19" ht="14.25">
      <c r="H19" s="117"/>
      <c r="I19" s="117"/>
      <c r="J19" s="118">
        <f t="shared" si="3"/>
        <v>0</v>
      </c>
      <c r="K19" s="117"/>
      <c r="L19" s="117"/>
      <c r="M19" s="118">
        <f t="shared" si="6"/>
        <v>0</v>
      </c>
      <c r="N19" s="117"/>
      <c r="O19" s="117"/>
      <c r="P19" s="118">
        <f t="shared" si="4"/>
        <v>0</v>
      </c>
      <c r="Q19" s="117"/>
      <c r="R19" s="117"/>
      <c r="S19" s="118">
        <f t="shared" si="5"/>
        <v>0</v>
      </c>
    </row>
    <row r="20" spans="8:19" ht="14.25">
      <c r="H20" s="117"/>
      <c r="I20" s="117"/>
      <c r="J20" s="118">
        <f t="shared" si="3"/>
        <v>0</v>
      </c>
      <c r="K20" s="117"/>
      <c r="L20" s="117"/>
      <c r="M20" s="118">
        <f t="shared" si="6"/>
        <v>0</v>
      </c>
      <c r="N20" s="117"/>
      <c r="O20" s="117"/>
      <c r="P20" s="118">
        <f t="shared" si="4"/>
        <v>0</v>
      </c>
      <c r="Q20" s="117"/>
      <c r="R20" s="117"/>
      <c r="S20" s="118">
        <f t="shared" si="5"/>
        <v>0</v>
      </c>
    </row>
    <row r="21" spans="8:19" ht="14.25">
      <c r="H21" s="117"/>
      <c r="I21" s="117"/>
      <c r="J21" s="118">
        <f t="shared" si="3"/>
        <v>0</v>
      </c>
      <c r="K21" s="117"/>
      <c r="L21" s="117"/>
      <c r="M21" s="118">
        <f t="shared" si="6"/>
        <v>0</v>
      </c>
      <c r="N21" s="117"/>
      <c r="O21" s="117"/>
      <c r="P21" s="118">
        <f t="shared" si="4"/>
        <v>0</v>
      </c>
      <c r="Q21" s="117"/>
      <c r="R21" s="117"/>
      <c r="S21" s="118">
        <f t="shared" si="5"/>
        <v>0</v>
      </c>
    </row>
    <row r="22" spans="8:19" ht="14.25">
      <c r="H22" s="117"/>
      <c r="I22" s="117"/>
      <c r="J22" s="118">
        <f t="shared" si="3"/>
        <v>0</v>
      </c>
      <c r="K22" s="117"/>
      <c r="L22" s="117"/>
      <c r="M22" s="118">
        <f t="shared" si="6"/>
        <v>0</v>
      </c>
      <c r="N22" s="117"/>
      <c r="O22" s="117"/>
      <c r="P22" s="118">
        <f t="shared" si="4"/>
        <v>0</v>
      </c>
      <c r="Q22" s="117"/>
      <c r="R22" s="117"/>
      <c r="S22" s="118">
        <f t="shared" si="5"/>
        <v>0</v>
      </c>
    </row>
    <row r="23" spans="8:19" ht="14.25">
      <c r="H23" s="117"/>
      <c r="I23" s="117"/>
      <c r="J23" s="118">
        <f t="shared" si="3"/>
        <v>0</v>
      </c>
      <c r="K23" s="117"/>
      <c r="L23" s="117"/>
      <c r="M23" s="118">
        <f t="shared" si="6"/>
        <v>0</v>
      </c>
      <c r="N23" s="117"/>
      <c r="O23" s="117"/>
      <c r="P23" s="118">
        <f t="shared" si="4"/>
        <v>0</v>
      </c>
      <c r="Q23" s="117"/>
      <c r="R23" s="117"/>
      <c r="S23" s="118">
        <f t="shared" si="5"/>
        <v>0</v>
      </c>
    </row>
    <row r="24" spans="8:19" ht="14.25">
      <c r="H24" s="117"/>
      <c r="I24" s="117"/>
      <c r="J24" s="118">
        <f t="shared" si="3"/>
        <v>0</v>
      </c>
      <c r="K24" s="117"/>
      <c r="L24" s="117"/>
      <c r="M24" s="118">
        <f t="shared" si="6"/>
        <v>0</v>
      </c>
      <c r="N24" s="117"/>
      <c r="O24" s="117"/>
      <c r="P24" s="118">
        <f t="shared" si="4"/>
        <v>0</v>
      </c>
      <c r="Q24" s="117"/>
      <c r="R24" s="117"/>
      <c r="S24" s="118">
        <f t="shared" si="5"/>
        <v>0</v>
      </c>
    </row>
    <row r="25" spans="8:19" ht="14.25">
      <c r="H25" s="117"/>
      <c r="I25" s="117"/>
      <c r="J25" s="118">
        <f t="shared" si="3"/>
        <v>0</v>
      </c>
      <c r="K25" s="117"/>
      <c r="L25" s="117"/>
      <c r="M25" s="118">
        <f t="shared" si="6"/>
        <v>0</v>
      </c>
      <c r="N25" s="117"/>
      <c r="O25" s="117"/>
      <c r="P25" s="118">
        <f t="shared" si="4"/>
        <v>0</v>
      </c>
      <c r="Q25" s="117"/>
      <c r="R25" s="117"/>
      <c r="S25" s="118">
        <f t="shared" si="5"/>
        <v>0</v>
      </c>
    </row>
    <row r="26" spans="8:19" ht="14.25">
      <c r="H26" s="117"/>
      <c r="I26" s="117"/>
      <c r="J26" s="118">
        <f t="shared" si="3"/>
        <v>0</v>
      </c>
      <c r="K26" s="117"/>
      <c r="L26" s="117"/>
      <c r="M26" s="118">
        <f t="shared" si="6"/>
        <v>0</v>
      </c>
      <c r="N26" s="117"/>
      <c r="O26" s="117"/>
      <c r="P26" s="118">
        <f t="shared" si="4"/>
        <v>0</v>
      </c>
      <c r="Q26" s="117"/>
      <c r="R26" s="117"/>
      <c r="S26" s="118">
        <f t="shared" si="5"/>
        <v>0</v>
      </c>
    </row>
    <row r="27" spans="8:19" ht="14.25">
      <c r="H27" s="117"/>
      <c r="I27" s="117"/>
      <c r="J27" s="118">
        <f t="shared" si="3"/>
        <v>0</v>
      </c>
      <c r="K27" s="117"/>
      <c r="L27" s="117"/>
      <c r="M27" s="118">
        <f t="shared" si="6"/>
        <v>0</v>
      </c>
      <c r="N27" s="117"/>
      <c r="O27" s="117"/>
      <c r="P27" s="118">
        <f t="shared" si="4"/>
        <v>0</v>
      </c>
      <c r="Q27" s="117"/>
      <c r="R27" s="117"/>
      <c r="S27" s="118">
        <f t="shared" si="5"/>
        <v>0</v>
      </c>
    </row>
    <row r="28" spans="8:19" ht="14.25">
      <c r="H28" s="117"/>
      <c r="I28" s="117"/>
      <c r="J28" s="118">
        <f t="shared" si="3"/>
        <v>0</v>
      </c>
      <c r="K28" s="117"/>
      <c r="L28" s="117"/>
      <c r="M28" s="118">
        <f t="shared" si="6"/>
        <v>0</v>
      </c>
      <c r="N28" s="117"/>
      <c r="O28" s="117"/>
      <c r="P28" s="118">
        <f t="shared" si="4"/>
        <v>0</v>
      </c>
      <c r="Q28" s="117"/>
      <c r="R28" s="117"/>
      <c r="S28" s="118">
        <f t="shared" si="5"/>
        <v>0</v>
      </c>
    </row>
    <row r="29" spans="8:19" ht="14.25">
      <c r="H29" s="117"/>
      <c r="I29" s="117"/>
      <c r="J29" s="118">
        <f t="shared" si="3"/>
        <v>0</v>
      </c>
      <c r="K29" s="117"/>
      <c r="L29" s="117"/>
      <c r="M29" s="118">
        <f t="shared" si="6"/>
        <v>0</v>
      </c>
      <c r="N29" s="117"/>
      <c r="O29" s="117"/>
      <c r="P29" s="118">
        <f t="shared" si="4"/>
        <v>0</v>
      </c>
      <c r="Q29" s="117"/>
      <c r="R29" s="117"/>
      <c r="S29" s="118">
        <f t="shared" si="5"/>
        <v>0</v>
      </c>
    </row>
    <row r="30" spans="8:19" ht="14.25">
      <c r="H30" s="117"/>
      <c r="I30" s="117"/>
      <c r="J30" s="118">
        <f t="shared" si="3"/>
        <v>0</v>
      </c>
      <c r="K30" s="117"/>
      <c r="L30" s="117"/>
      <c r="M30" s="118">
        <f t="shared" si="6"/>
        <v>0</v>
      </c>
      <c r="N30" s="117"/>
      <c r="O30" s="117"/>
      <c r="P30" s="118">
        <f t="shared" si="4"/>
        <v>0</v>
      </c>
      <c r="Q30" s="117"/>
      <c r="R30" s="117"/>
      <c r="S30" s="118">
        <f t="shared" si="5"/>
        <v>0</v>
      </c>
    </row>
    <row r="31" spans="8:19" ht="14.25">
      <c r="H31" s="117"/>
      <c r="I31" s="117"/>
      <c r="J31" s="118">
        <f t="shared" si="3"/>
        <v>0</v>
      </c>
      <c r="K31" s="117"/>
      <c r="L31" s="117"/>
      <c r="M31" s="118">
        <f t="shared" si="6"/>
        <v>0</v>
      </c>
      <c r="N31" s="117"/>
      <c r="O31" s="117"/>
      <c r="P31" s="118">
        <f t="shared" si="4"/>
        <v>0</v>
      </c>
      <c r="Q31" s="117"/>
      <c r="R31" s="117"/>
      <c r="S31" s="118">
        <f t="shared" si="5"/>
        <v>0</v>
      </c>
    </row>
    <row r="32" spans="8:19" ht="14.25">
      <c r="H32" s="117"/>
      <c r="I32" s="117"/>
      <c r="J32" s="118">
        <f t="shared" si="3"/>
        <v>0</v>
      </c>
      <c r="K32" s="117"/>
      <c r="L32" s="117"/>
      <c r="M32" s="118">
        <f t="shared" si="6"/>
        <v>0</v>
      </c>
      <c r="N32" s="117"/>
      <c r="O32" s="117"/>
      <c r="P32" s="118">
        <f t="shared" si="4"/>
        <v>0</v>
      </c>
      <c r="Q32" s="117"/>
      <c r="R32" s="117"/>
      <c r="S32" s="118">
        <f t="shared" si="5"/>
        <v>0</v>
      </c>
    </row>
    <row r="33" spans="8:19" ht="14.25">
      <c r="H33" s="117"/>
      <c r="I33" s="117"/>
      <c r="J33" s="118">
        <f t="shared" si="3"/>
        <v>0</v>
      </c>
      <c r="K33" s="117"/>
      <c r="L33" s="117"/>
      <c r="M33" s="118">
        <f t="shared" si="6"/>
        <v>0</v>
      </c>
      <c r="N33" s="117"/>
      <c r="O33" s="117"/>
      <c r="P33" s="118">
        <f t="shared" si="4"/>
        <v>0</v>
      </c>
      <c r="Q33" s="117"/>
      <c r="R33" s="117"/>
      <c r="S33" s="118">
        <f t="shared" si="5"/>
        <v>0</v>
      </c>
    </row>
    <row r="34" spans="8:19" ht="14.25">
      <c r="H34" s="117"/>
      <c r="I34" s="117"/>
      <c r="J34" s="118">
        <f t="shared" si="3"/>
        <v>0</v>
      </c>
      <c r="K34" s="117"/>
      <c r="L34" s="117"/>
      <c r="M34" s="118">
        <f t="shared" si="6"/>
        <v>0</v>
      </c>
      <c r="N34" s="117"/>
      <c r="O34" s="117"/>
      <c r="P34" s="118">
        <f t="shared" si="4"/>
        <v>0</v>
      </c>
      <c r="Q34" s="117"/>
      <c r="R34" s="117"/>
      <c r="S34" s="118">
        <f t="shared" si="5"/>
        <v>0</v>
      </c>
    </row>
    <row r="35" spans="8:19" ht="14.25">
      <c r="H35" s="117"/>
      <c r="I35" s="117"/>
      <c r="J35" s="118">
        <f t="shared" si="3"/>
        <v>0</v>
      </c>
      <c r="K35" s="117"/>
      <c r="L35" s="117"/>
      <c r="M35" s="118">
        <f t="shared" si="6"/>
        <v>0</v>
      </c>
      <c r="N35" s="117"/>
      <c r="O35" s="117"/>
      <c r="P35" s="118">
        <f t="shared" si="4"/>
        <v>0</v>
      </c>
      <c r="Q35" s="117"/>
      <c r="R35" s="117"/>
      <c r="S35" s="118">
        <f t="shared" si="5"/>
        <v>0</v>
      </c>
    </row>
    <row r="36" spans="8:19" ht="14.25">
      <c r="H36" s="117"/>
      <c r="I36" s="117"/>
      <c r="J36" s="118">
        <f t="shared" si="3"/>
        <v>0</v>
      </c>
      <c r="K36" s="117"/>
      <c r="L36" s="117"/>
      <c r="M36" s="118">
        <f t="shared" si="6"/>
        <v>0</v>
      </c>
      <c r="N36" s="117"/>
      <c r="O36" s="117"/>
      <c r="P36" s="118">
        <f t="shared" si="4"/>
        <v>0</v>
      </c>
      <c r="Q36" s="117"/>
      <c r="R36" s="117"/>
      <c r="S36" s="118">
        <f t="shared" si="5"/>
        <v>0</v>
      </c>
    </row>
    <row r="37" spans="8:19" ht="14.25">
      <c r="H37" s="117"/>
      <c r="I37" s="117"/>
      <c r="J37" s="118">
        <f t="shared" si="3"/>
        <v>0</v>
      </c>
      <c r="K37" s="117"/>
      <c r="L37" s="117"/>
      <c r="M37" s="118">
        <f t="shared" si="6"/>
        <v>0</v>
      </c>
      <c r="N37" s="117"/>
      <c r="O37" s="117"/>
      <c r="P37" s="118">
        <f t="shared" si="4"/>
        <v>0</v>
      </c>
      <c r="Q37" s="117"/>
      <c r="R37" s="117"/>
      <c r="S37" s="118">
        <f t="shared" si="5"/>
        <v>0</v>
      </c>
    </row>
    <row r="38" spans="8:19" ht="14.25">
      <c r="H38" s="117"/>
      <c r="I38" s="117"/>
      <c r="J38" s="118">
        <f t="shared" si="3"/>
        <v>0</v>
      </c>
      <c r="K38" s="117"/>
      <c r="L38" s="117"/>
      <c r="M38" s="118">
        <f t="shared" si="6"/>
        <v>0</v>
      </c>
      <c r="N38" s="117"/>
      <c r="O38" s="117"/>
      <c r="P38" s="118">
        <f t="shared" si="4"/>
        <v>0</v>
      </c>
      <c r="Q38" s="117"/>
      <c r="R38" s="117"/>
      <c r="S38" s="118">
        <f t="shared" si="5"/>
        <v>0</v>
      </c>
    </row>
    <row r="39" spans="8:19" ht="14.25">
      <c r="H39" s="117"/>
      <c r="I39" s="117"/>
      <c r="J39" s="118">
        <f t="shared" si="3"/>
        <v>0</v>
      </c>
      <c r="K39" s="117"/>
      <c r="L39" s="117"/>
      <c r="M39" s="118">
        <f t="shared" si="6"/>
        <v>0</v>
      </c>
      <c r="N39" s="117"/>
      <c r="O39" s="117"/>
      <c r="P39" s="118">
        <f t="shared" si="4"/>
        <v>0</v>
      </c>
      <c r="Q39" s="117"/>
      <c r="R39" s="117"/>
      <c r="S39" s="118">
        <f t="shared" si="5"/>
        <v>0</v>
      </c>
    </row>
    <row r="40" spans="8:19" ht="14.25">
      <c r="H40" s="117"/>
      <c r="I40" s="117"/>
      <c r="J40" s="118">
        <f t="shared" si="3"/>
        <v>0</v>
      </c>
      <c r="K40" s="117"/>
      <c r="L40" s="117"/>
      <c r="M40" s="118">
        <f t="shared" si="6"/>
        <v>0</v>
      </c>
      <c r="N40" s="117"/>
      <c r="O40" s="117"/>
      <c r="P40" s="118">
        <f t="shared" si="4"/>
        <v>0</v>
      </c>
      <c r="Q40" s="117"/>
      <c r="R40" s="117"/>
      <c r="S40" s="118">
        <f t="shared" si="5"/>
        <v>0</v>
      </c>
    </row>
    <row r="41" spans="8:19" ht="14.25">
      <c r="H41" s="117"/>
      <c r="I41" s="117"/>
      <c r="J41" s="118">
        <f t="shared" si="3"/>
        <v>0</v>
      </c>
      <c r="K41" s="117"/>
      <c r="L41" s="117"/>
      <c r="M41" s="118">
        <f t="shared" si="6"/>
        <v>0</v>
      </c>
      <c r="N41" s="117"/>
      <c r="O41" s="117"/>
      <c r="P41" s="118">
        <f t="shared" si="4"/>
        <v>0</v>
      </c>
      <c r="Q41" s="117"/>
      <c r="R41" s="117"/>
      <c r="S41" s="118">
        <f t="shared" si="5"/>
        <v>0</v>
      </c>
    </row>
    <row r="42" spans="8:19" ht="14.25">
      <c r="H42" s="117"/>
      <c r="I42" s="117"/>
      <c r="J42" s="118">
        <f t="shared" si="3"/>
        <v>0</v>
      </c>
      <c r="K42" s="117"/>
      <c r="L42" s="117"/>
      <c r="M42" s="118">
        <f t="shared" si="6"/>
        <v>0</v>
      </c>
      <c r="N42" s="117"/>
      <c r="O42" s="117"/>
      <c r="P42" s="118">
        <f t="shared" si="4"/>
        <v>0</v>
      </c>
      <c r="Q42" s="117"/>
      <c r="R42" s="117"/>
      <c r="S42" s="118">
        <f t="shared" si="5"/>
        <v>0</v>
      </c>
    </row>
    <row r="43" spans="8:19" ht="14.25">
      <c r="H43" s="117"/>
      <c r="I43" s="117"/>
      <c r="J43" s="118">
        <f t="shared" si="3"/>
        <v>0</v>
      </c>
      <c r="K43" s="117"/>
      <c r="L43" s="117"/>
      <c r="M43" s="118">
        <f t="shared" si="6"/>
        <v>0</v>
      </c>
      <c r="N43" s="117"/>
      <c r="O43" s="117"/>
      <c r="P43" s="118">
        <f t="shared" si="4"/>
        <v>0</v>
      </c>
      <c r="Q43" s="117"/>
      <c r="R43" s="117"/>
      <c r="S43" s="118">
        <f t="shared" si="5"/>
        <v>0</v>
      </c>
    </row>
    <row r="44" spans="8:19" ht="14.25">
      <c r="H44" s="117"/>
      <c r="I44" s="117"/>
      <c r="J44" s="118">
        <f t="shared" si="3"/>
        <v>0</v>
      </c>
      <c r="K44" s="117"/>
      <c r="L44" s="117"/>
      <c r="M44" s="118">
        <f t="shared" si="6"/>
        <v>0</v>
      </c>
      <c r="N44" s="117"/>
      <c r="O44" s="117"/>
      <c r="P44" s="118">
        <f t="shared" si="4"/>
        <v>0</v>
      </c>
      <c r="Q44" s="117"/>
      <c r="R44" s="117"/>
      <c r="S44" s="118">
        <f t="shared" si="5"/>
        <v>0</v>
      </c>
    </row>
    <row r="45" spans="8:19" ht="14.25">
      <c r="H45" s="117"/>
      <c r="I45" s="117"/>
      <c r="J45" s="118">
        <f t="shared" si="3"/>
        <v>0</v>
      </c>
      <c r="K45" s="117"/>
      <c r="L45" s="117"/>
      <c r="M45" s="118">
        <f t="shared" si="6"/>
        <v>0</v>
      </c>
      <c r="N45" s="117"/>
      <c r="O45" s="117"/>
      <c r="P45" s="118">
        <f t="shared" si="4"/>
        <v>0</v>
      </c>
      <c r="Q45" s="117"/>
      <c r="R45" s="117"/>
      <c r="S45" s="118">
        <f t="shared" si="5"/>
        <v>0</v>
      </c>
    </row>
    <row r="46" spans="8:19" ht="14.25">
      <c r="H46" s="117"/>
      <c r="I46" s="117"/>
      <c r="J46" s="118">
        <f t="shared" si="3"/>
        <v>0</v>
      </c>
      <c r="K46" s="117"/>
      <c r="L46" s="117"/>
      <c r="M46" s="118">
        <f t="shared" si="6"/>
        <v>0</v>
      </c>
      <c r="N46" s="117"/>
      <c r="O46" s="117"/>
      <c r="P46" s="118">
        <f t="shared" si="4"/>
        <v>0</v>
      </c>
      <c r="Q46" s="117"/>
      <c r="R46" s="117"/>
      <c r="S46" s="118">
        <f t="shared" si="5"/>
        <v>0</v>
      </c>
    </row>
    <row r="47" spans="8:19" ht="14.25">
      <c r="H47" s="117"/>
      <c r="I47" s="117"/>
      <c r="J47" s="118">
        <f t="shared" si="3"/>
        <v>0</v>
      </c>
      <c r="K47" s="117"/>
      <c r="L47" s="117"/>
      <c r="M47" s="118">
        <f t="shared" si="6"/>
        <v>0</v>
      </c>
      <c r="N47" s="117"/>
      <c r="O47" s="117"/>
      <c r="P47" s="118">
        <f t="shared" si="4"/>
        <v>0</v>
      </c>
      <c r="Q47" s="117"/>
      <c r="R47" s="117"/>
      <c r="S47" s="118">
        <f t="shared" si="5"/>
        <v>0</v>
      </c>
    </row>
    <row r="48" spans="8:19" ht="14.25">
      <c r="H48" s="117"/>
      <c r="I48" s="117"/>
      <c r="J48" s="118">
        <f t="shared" si="3"/>
        <v>0</v>
      </c>
      <c r="K48" s="117"/>
      <c r="L48" s="117"/>
      <c r="M48" s="118">
        <f t="shared" si="6"/>
        <v>0</v>
      </c>
      <c r="N48" s="117"/>
      <c r="O48" s="117"/>
      <c r="P48" s="118">
        <f t="shared" si="4"/>
        <v>0</v>
      </c>
      <c r="Q48" s="117"/>
      <c r="R48" s="117"/>
      <c r="S48" s="118">
        <f t="shared" si="5"/>
        <v>0</v>
      </c>
    </row>
    <row r="49" spans="8:19" ht="14.25">
      <c r="H49" s="117"/>
      <c r="I49" s="117"/>
      <c r="J49" s="118">
        <f t="shared" si="3"/>
        <v>0</v>
      </c>
      <c r="K49" s="117"/>
      <c r="L49" s="117"/>
      <c r="M49" s="118">
        <f t="shared" si="6"/>
        <v>0</v>
      </c>
      <c r="N49" s="117"/>
      <c r="O49" s="117"/>
      <c r="P49" s="118">
        <f t="shared" si="4"/>
        <v>0</v>
      </c>
      <c r="Q49" s="117"/>
      <c r="R49" s="117"/>
      <c r="S49" s="118">
        <f t="shared" si="5"/>
        <v>0</v>
      </c>
    </row>
    <row r="50" spans="8:19" ht="14.25">
      <c r="H50" s="117"/>
      <c r="I50" s="117"/>
      <c r="J50" s="118">
        <f t="shared" si="3"/>
        <v>0</v>
      </c>
      <c r="K50" s="117"/>
      <c r="L50" s="117"/>
      <c r="M50" s="118">
        <f t="shared" si="6"/>
        <v>0</v>
      </c>
      <c r="N50" s="117"/>
      <c r="O50" s="117"/>
      <c r="P50" s="118">
        <f t="shared" si="4"/>
        <v>0</v>
      </c>
      <c r="Q50" s="117"/>
      <c r="R50" s="117"/>
      <c r="S50" s="118">
        <f t="shared" si="5"/>
        <v>0</v>
      </c>
    </row>
    <row r="51" spans="8:19" ht="14.25">
      <c r="H51" s="117"/>
      <c r="I51" s="117"/>
      <c r="J51" s="118">
        <f t="shared" si="3"/>
        <v>0</v>
      </c>
      <c r="K51" s="117"/>
      <c r="L51" s="117"/>
      <c r="M51" s="118">
        <f t="shared" si="6"/>
        <v>0</v>
      </c>
      <c r="N51" s="117"/>
      <c r="O51" s="117"/>
      <c r="P51" s="118">
        <f t="shared" si="4"/>
        <v>0</v>
      </c>
      <c r="Q51" s="117"/>
      <c r="R51" s="117"/>
      <c r="S51" s="118">
        <f t="shared" si="5"/>
        <v>0</v>
      </c>
    </row>
    <row r="52" spans="8:19" ht="14.25">
      <c r="H52" s="117"/>
      <c r="I52" s="117"/>
      <c r="J52" s="118">
        <f t="shared" si="3"/>
        <v>0</v>
      </c>
      <c r="K52" s="117"/>
      <c r="L52" s="117"/>
      <c r="M52" s="118">
        <f t="shared" si="6"/>
        <v>0</v>
      </c>
      <c r="N52" s="117"/>
      <c r="O52" s="117"/>
      <c r="P52" s="118">
        <f t="shared" si="4"/>
        <v>0</v>
      </c>
      <c r="Q52" s="117"/>
      <c r="R52" s="117"/>
      <c r="S52" s="118">
        <f t="shared" si="5"/>
        <v>0</v>
      </c>
    </row>
    <row r="53" spans="8:19" ht="14.25">
      <c r="H53" s="117"/>
      <c r="I53" s="117"/>
      <c r="J53" s="118">
        <f t="shared" si="3"/>
        <v>0</v>
      </c>
      <c r="K53" s="117"/>
      <c r="L53" s="117"/>
      <c r="M53" s="118">
        <f t="shared" si="6"/>
        <v>0</v>
      </c>
      <c r="N53" s="117"/>
      <c r="O53" s="117"/>
      <c r="P53" s="118">
        <f t="shared" si="4"/>
        <v>0</v>
      </c>
      <c r="Q53" s="117"/>
      <c r="R53" s="117"/>
      <c r="S53" s="118">
        <f t="shared" si="5"/>
        <v>0</v>
      </c>
    </row>
    <row r="54" spans="8:19" ht="14.25">
      <c r="H54" s="117"/>
      <c r="I54" s="117"/>
      <c r="J54" s="118">
        <f t="shared" si="3"/>
        <v>0</v>
      </c>
      <c r="K54" s="117"/>
      <c r="L54" s="117"/>
      <c r="M54" s="118">
        <f t="shared" si="6"/>
        <v>0</v>
      </c>
      <c r="N54" s="117"/>
      <c r="O54" s="117"/>
      <c r="P54" s="118">
        <f t="shared" si="4"/>
        <v>0</v>
      </c>
      <c r="Q54" s="117"/>
      <c r="R54" s="117"/>
      <c r="S54" s="118">
        <f t="shared" si="5"/>
        <v>0</v>
      </c>
    </row>
    <row r="55" spans="8:19" ht="14.25">
      <c r="H55" s="117"/>
      <c r="I55" s="117"/>
      <c r="J55" s="118">
        <f t="shared" si="3"/>
        <v>0</v>
      </c>
      <c r="K55" s="117"/>
      <c r="L55" s="117"/>
      <c r="M55" s="118">
        <f t="shared" si="6"/>
        <v>0</v>
      </c>
      <c r="N55" s="117"/>
      <c r="O55" s="117"/>
      <c r="P55" s="118">
        <f t="shared" si="4"/>
        <v>0</v>
      </c>
      <c r="Q55" s="117"/>
      <c r="R55" s="117"/>
      <c r="S55" s="118">
        <f t="shared" si="5"/>
        <v>0</v>
      </c>
    </row>
    <row r="56" spans="8:19" ht="14.25">
      <c r="H56" s="117"/>
      <c r="I56" s="117"/>
      <c r="J56" s="118">
        <f t="shared" si="3"/>
        <v>0</v>
      </c>
      <c r="K56" s="117"/>
      <c r="L56" s="117"/>
      <c r="M56" s="118">
        <f t="shared" si="6"/>
        <v>0</v>
      </c>
      <c r="N56" s="117"/>
      <c r="O56" s="117"/>
      <c r="P56" s="118">
        <f t="shared" si="4"/>
        <v>0</v>
      </c>
      <c r="Q56" s="117"/>
      <c r="R56" s="117"/>
      <c r="S56" s="118">
        <f t="shared" si="5"/>
        <v>0</v>
      </c>
    </row>
    <row r="57" spans="8:19" ht="14.25">
      <c r="H57" s="117"/>
      <c r="I57" s="117"/>
      <c r="J57" s="118">
        <f t="shared" si="3"/>
        <v>0</v>
      </c>
      <c r="K57" s="117"/>
      <c r="L57" s="117"/>
      <c r="M57" s="118">
        <f t="shared" si="6"/>
        <v>0</v>
      </c>
      <c r="N57" s="117"/>
      <c r="O57" s="117"/>
      <c r="P57" s="118">
        <f t="shared" si="4"/>
        <v>0</v>
      </c>
      <c r="Q57" s="117"/>
      <c r="R57" s="117"/>
      <c r="S57" s="118">
        <f t="shared" si="5"/>
        <v>0</v>
      </c>
    </row>
    <row r="58" spans="8:19" ht="14.25">
      <c r="H58" s="117"/>
      <c r="I58" s="117"/>
      <c r="J58" s="118">
        <f t="shared" si="3"/>
        <v>0</v>
      </c>
      <c r="K58" s="117"/>
      <c r="L58" s="117"/>
      <c r="M58" s="118">
        <f t="shared" si="6"/>
        <v>0</v>
      </c>
      <c r="N58" s="117"/>
      <c r="O58" s="117"/>
      <c r="P58" s="118">
        <f t="shared" si="4"/>
        <v>0</v>
      </c>
      <c r="Q58" s="117"/>
      <c r="R58" s="117"/>
      <c r="S58" s="118">
        <f t="shared" si="5"/>
        <v>0</v>
      </c>
    </row>
    <row r="59" spans="8:19" ht="14.25">
      <c r="H59" s="117"/>
      <c r="I59" s="117"/>
      <c r="J59" s="118">
        <f t="shared" si="3"/>
        <v>0</v>
      </c>
      <c r="K59" s="117"/>
      <c r="L59" s="117"/>
      <c r="M59" s="118">
        <f t="shared" si="6"/>
        <v>0</v>
      </c>
      <c r="N59" s="117"/>
      <c r="O59" s="117"/>
      <c r="P59" s="118">
        <f t="shared" si="4"/>
        <v>0</v>
      </c>
      <c r="Q59" s="117"/>
      <c r="R59" s="117"/>
      <c r="S59" s="118">
        <f t="shared" si="5"/>
        <v>0</v>
      </c>
    </row>
    <row r="60" spans="8:19" ht="14.25">
      <c r="H60" s="117"/>
      <c r="I60" s="117"/>
      <c r="J60" s="118">
        <f t="shared" si="3"/>
        <v>0</v>
      </c>
      <c r="K60" s="117"/>
      <c r="L60" s="117"/>
      <c r="M60" s="118">
        <f t="shared" si="6"/>
        <v>0</v>
      </c>
      <c r="N60" s="117"/>
      <c r="O60" s="117"/>
      <c r="P60" s="118">
        <f t="shared" si="4"/>
        <v>0</v>
      </c>
      <c r="Q60" s="117"/>
      <c r="R60" s="117"/>
      <c r="S60" s="118">
        <f t="shared" si="5"/>
        <v>0</v>
      </c>
    </row>
    <row r="61" spans="8:19" ht="14.25">
      <c r="H61" s="117"/>
      <c r="I61" s="117"/>
      <c r="J61" s="118">
        <f t="shared" si="3"/>
        <v>0</v>
      </c>
      <c r="K61" s="117"/>
      <c r="L61" s="117"/>
      <c r="M61" s="118">
        <f t="shared" si="6"/>
        <v>0</v>
      </c>
      <c r="N61" s="117"/>
      <c r="O61" s="117"/>
      <c r="P61" s="118">
        <f t="shared" si="4"/>
        <v>0</v>
      </c>
      <c r="Q61" s="117"/>
      <c r="R61" s="117"/>
      <c r="S61" s="118">
        <f t="shared" si="5"/>
        <v>0</v>
      </c>
    </row>
    <row r="62" spans="8:19" ht="14.25">
      <c r="H62" s="117"/>
      <c r="I62" s="117"/>
      <c r="J62" s="118">
        <f t="shared" si="3"/>
        <v>0</v>
      </c>
      <c r="K62" s="117"/>
      <c r="L62" s="117"/>
      <c r="M62" s="118">
        <f t="shared" si="6"/>
        <v>0</v>
      </c>
      <c r="N62" s="117"/>
      <c r="O62" s="117"/>
      <c r="P62" s="118">
        <f t="shared" si="4"/>
        <v>0</v>
      </c>
      <c r="Q62" s="117"/>
      <c r="R62" s="117"/>
      <c r="S62" s="118">
        <f t="shared" si="5"/>
        <v>0</v>
      </c>
    </row>
    <row r="63" spans="8:19" ht="14.25">
      <c r="H63" s="117"/>
      <c r="I63" s="117"/>
      <c r="J63" s="118">
        <f t="shared" si="3"/>
        <v>0</v>
      </c>
      <c r="K63" s="117"/>
      <c r="L63" s="117"/>
      <c r="M63" s="118">
        <f t="shared" si="6"/>
        <v>0</v>
      </c>
      <c r="N63" s="117"/>
      <c r="O63" s="117"/>
      <c r="P63" s="118">
        <f t="shared" si="4"/>
        <v>0</v>
      </c>
      <c r="Q63" s="117"/>
      <c r="R63" s="117"/>
      <c r="S63" s="118">
        <f t="shared" si="5"/>
        <v>0</v>
      </c>
    </row>
    <row r="64" spans="8:19" ht="14.25">
      <c r="H64" s="117"/>
      <c r="I64" s="117"/>
      <c r="J64" s="118">
        <f t="shared" si="3"/>
        <v>0</v>
      </c>
      <c r="K64" s="117"/>
      <c r="L64" s="117"/>
      <c r="M64" s="118">
        <f t="shared" si="6"/>
        <v>0</v>
      </c>
      <c r="N64" s="117"/>
      <c r="O64" s="117"/>
      <c r="P64" s="118">
        <f t="shared" si="4"/>
        <v>0</v>
      </c>
      <c r="Q64" s="117"/>
      <c r="R64" s="117"/>
      <c r="S64" s="118">
        <f t="shared" si="5"/>
        <v>0</v>
      </c>
    </row>
    <row r="65" spans="8:19" ht="14.25">
      <c r="H65" s="117"/>
      <c r="I65" s="117"/>
      <c r="J65" s="118">
        <f t="shared" si="3"/>
        <v>0</v>
      </c>
      <c r="K65" s="117"/>
      <c r="L65" s="117"/>
      <c r="M65" s="118">
        <f t="shared" si="6"/>
        <v>0</v>
      </c>
      <c r="N65" s="117"/>
      <c r="O65" s="117"/>
      <c r="P65" s="118">
        <f t="shared" si="4"/>
        <v>0</v>
      </c>
      <c r="Q65" s="117"/>
      <c r="R65" s="117"/>
      <c r="S65" s="118">
        <f t="shared" si="5"/>
        <v>0</v>
      </c>
    </row>
    <row r="66" spans="8:19" ht="14.25">
      <c r="H66" s="117"/>
      <c r="I66" s="117"/>
      <c r="J66" s="118">
        <f t="shared" si="3"/>
        <v>0</v>
      </c>
      <c r="K66" s="117"/>
      <c r="L66" s="117"/>
      <c r="M66" s="118">
        <f t="shared" si="6"/>
        <v>0</v>
      </c>
      <c r="N66" s="117"/>
      <c r="O66" s="117"/>
      <c r="P66" s="118">
        <f t="shared" si="4"/>
        <v>0</v>
      </c>
      <c r="Q66" s="117"/>
      <c r="R66" s="117"/>
      <c r="S66" s="118">
        <f t="shared" si="5"/>
        <v>0</v>
      </c>
    </row>
    <row r="67" spans="8:19" ht="14.25">
      <c r="H67" s="117"/>
      <c r="I67" s="117"/>
      <c r="J67" s="118">
        <f t="shared" si="3"/>
        <v>0</v>
      </c>
      <c r="K67" s="117"/>
      <c r="L67" s="117"/>
      <c r="M67" s="118">
        <f t="shared" si="6"/>
        <v>0</v>
      </c>
      <c r="N67" s="117"/>
      <c r="O67" s="117"/>
      <c r="P67" s="118">
        <f t="shared" si="4"/>
        <v>0</v>
      </c>
      <c r="Q67" s="117"/>
      <c r="R67" s="117"/>
      <c r="S67" s="118">
        <f t="shared" si="5"/>
        <v>0</v>
      </c>
    </row>
    <row r="68" spans="8:19" ht="14.25">
      <c r="H68" s="117"/>
      <c r="I68" s="117"/>
      <c r="J68" s="118">
        <f t="shared" si="3"/>
        <v>0</v>
      </c>
      <c r="K68" s="117"/>
      <c r="L68" s="117"/>
      <c r="M68" s="118">
        <f t="shared" si="6"/>
        <v>0</v>
      </c>
      <c r="N68" s="117"/>
      <c r="O68" s="117"/>
      <c r="P68" s="118">
        <f t="shared" si="4"/>
        <v>0</v>
      </c>
      <c r="Q68" s="117"/>
      <c r="R68" s="117"/>
      <c r="S68" s="118">
        <f t="shared" si="5"/>
        <v>0</v>
      </c>
    </row>
    <row r="69" spans="8:19" ht="14.25">
      <c r="H69" s="117"/>
      <c r="I69" s="117"/>
      <c r="J69" s="118">
        <f t="shared" ref="J69:J132" si="7">H69*I69</f>
        <v>0</v>
      </c>
      <c r="K69" s="117"/>
      <c r="L69" s="117"/>
      <c r="M69" s="118">
        <f t="shared" si="6"/>
        <v>0</v>
      </c>
      <c r="N69" s="117"/>
      <c r="O69" s="117"/>
      <c r="P69" s="118">
        <f t="shared" si="4"/>
        <v>0</v>
      </c>
      <c r="Q69" s="117"/>
      <c r="R69" s="117"/>
      <c r="S69" s="118">
        <f t="shared" si="5"/>
        <v>0</v>
      </c>
    </row>
    <row r="70" spans="8:19" ht="14.25">
      <c r="H70" s="117"/>
      <c r="I70" s="117"/>
      <c r="J70" s="118">
        <f t="shared" si="7"/>
        <v>0</v>
      </c>
      <c r="K70" s="117"/>
      <c r="L70" s="117"/>
      <c r="M70" s="118">
        <f t="shared" si="6"/>
        <v>0</v>
      </c>
      <c r="N70" s="117"/>
      <c r="O70" s="117"/>
      <c r="P70" s="118">
        <f t="shared" si="4"/>
        <v>0</v>
      </c>
      <c r="Q70" s="117"/>
      <c r="R70" s="117"/>
      <c r="S70" s="118">
        <f t="shared" si="5"/>
        <v>0</v>
      </c>
    </row>
    <row r="71" spans="8:19" ht="14.25">
      <c r="H71" s="117"/>
      <c r="I71" s="117"/>
      <c r="J71" s="118">
        <f t="shared" si="7"/>
        <v>0</v>
      </c>
      <c r="K71" s="117"/>
      <c r="L71" s="117"/>
      <c r="M71" s="118">
        <f t="shared" si="6"/>
        <v>0</v>
      </c>
      <c r="N71" s="117"/>
      <c r="O71" s="117"/>
      <c r="P71" s="118">
        <f t="shared" si="4"/>
        <v>0</v>
      </c>
      <c r="Q71" s="117"/>
      <c r="R71" s="117"/>
      <c r="S71" s="118">
        <f t="shared" si="5"/>
        <v>0</v>
      </c>
    </row>
    <row r="72" spans="8:19" ht="14.25">
      <c r="H72" s="117"/>
      <c r="I72" s="117"/>
      <c r="J72" s="118">
        <f t="shared" si="7"/>
        <v>0</v>
      </c>
      <c r="K72" s="117"/>
      <c r="L72" s="117"/>
      <c r="M72" s="118">
        <f t="shared" si="6"/>
        <v>0</v>
      </c>
      <c r="N72" s="117"/>
      <c r="O72" s="117"/>
      <c r="P72" s="118">
        <f t="shared" si="4"/>
        <v>0</v>
      </c>
      <c r="Q72" s="117"/>
      <c r="R72" s="117"/>
      <c r="S72" s="118">
        <f t="shared" si="5"/>
        <v>0</v>
      </c>
    </row>
    <row r="73" spans="8:19" ht="14.25">
      <c r="H73" s="117"/>
      <c r="I73" s="117"/>
      <c r="J73" s="118">
        <f t="shared" si="7"/>
        <v>0</v>
      </c>
      <c r="K73" s="117"/>
      <c r="L73" s="117"/>
      <c r="M73" s="118">
        <f t="shared" si="6"/>
        <v>0</v>
      </c>
      <c r="N73" s="117"/>
      <c r="O73" s="117"/>
      <c r="P73" s="118">
        <f t="shared" si="4"/>
        <v>0</v>
      </c>
      <c r="Q73" s="117"/>
      <c r="R73" s="117"/>
      <c r="S73" s="118">
        <f t="shared" si="5"/>
        <v>0</v>
      </c>
    </row>
    <row r="74" spans="8:19" ht="14.25">
      <c r="H74" s="117"/>
      <c r="I74" s="117"/>
      <c r="J74" s="118">
        <f t="shared" si="7"/>
        <v>0</v>
      </c>
      <c r="K74" s="117"/>
      <c r="L74" s="117"/>
      <c r="M74" s="118">
        <f t="shared" si="6"/>
        <v>0</v>
      </c>
      <c r="N74" s="117"/>
      <c r="O74" s="117"/>
      <c r="P74" s="118">
        <f t="shared" si="4"/>
        <v>0</v>
      </c>
      <c r="Q74" s="117"/>
      <c r="R74" s="117"/>
      <c r="S74" s="118">
        <f t="shared" si="5"/>
        <v>0</v>
      </c>
    </row>
    <row r="75" spans="8:19" ht="14.25">
      <c r="H75" s="117"/>
      <c r="I75" s="117"/>
      <c r="J75" s="118">
        <f t="shared" si="7"/>
        <v>0</v>
      </c>
      <c r="K75" s="117"/>
      <c r="L75" s="117"/>
      <c r="M75" s="118">
        <f t="shared" si="6"/>
        <v>0</v>
      </c>
      <c r="N75" s="117"/>
      <c r="O75" s="117"/>
      <c r="P75" s="118">
        <f t="shared" si="4"/>
        <v>0</v>
      </c>
      <c r="Q75" s="117"/>
      <c r="R75" s="117"/>
      <c r="S75" s="118">
        <f t="shared" si="5"/>
        <v>0</v>
      </c>
    </row>
    <row r="76" spans="8:19" ht="14.25">
      <c r="H76" s="117"/>
      <c r="I76" s="117"/>
      <c r="J76" s="118">
        <f t="shared" si="7"/>
        <v>0</v>
      </c>
      <c r="K76" s="117"/>
      <c r="L76" s="117"/>
      <c r="M76" s="118">
        <f t="shared" si="6"/>
        <v>0</v>
      </c>
      <c r="N76" s="117"/>
      <c r="O76" s="117"/>
      <c r="P76" s="118">
        <f t="shared" si="4"/>
        <v>0</v>
      </c>
      <c r="Q76" s="117"/>
      <c r="R76" s="117"/>
      <c r="S76" s="118">
        <f t="shared" si="5"/>
        <v>0</v>
      </c>
    </row>
    <row r="77" spans="8:19" ht="14.25">
      <c r="H77" s="117"/>
      <c r="I77" s="117"/>
      <c r="J77" s="118">
        <f t="shared" si="7"/>
        <v>0</v>
      </c>
      <c r="K77" s="117"/>
      <c r="L77" s="117"/>
      <c r="M77" s="118">
        <f t="shared" si="6"/>
        <v>0</v>
      </c>
      <c r="N77" s="117"/>
      <c r="O77" s="117"/>
      <c r="P77" s="118">
        <f t="shared" ref="P77:P140" si="8">N77*O77</f>
        <v>0</v>
      </c>
      <c r="Q77" s="117"/>
      <c r="R77" s="117"/>
      <c r="S77" s="118">
        <f t="shared" si="5"/>
        <v>0</v>
      </c>
    </row>
    <row r="78" spans="8:19" ht="14.25">
      <c r="H78" s="117"/>
      <c r="I78" s="117"/>
      <c r="J78" s="118">
        <f t="shared" si="7"/>
        <v>0</v>
      </c>
      <c r="K78" s="117"/>
      <c r="L78" s="117"/>
      <c r="M78" s="118">
        <f t="shared" si="6"/>
        <v>0</v>
      </c>
      <c r="N78" s="117"/>
      <c r="O78" s="117"/>
      <c r="P78" s="118">
        <f t="shared" si="8"/>
        <v>0</v>
      </c>
      <c r="Q78" s="117"/>
      <c r="R78" s="117"/>
      <c r="S78" s="118">
        <f t="shared" ref="S78:S141" si="9">Q78*R78</f>
        <v>0</v>
      </c>
    </row>
    <row r="79" spans="8:19" ht="14.25">
      <c r="H79" s="117"/>
      <c r="I79" s="117"/>
      <c r="J79" s="118">
        <f t="shared" si="7"/>
        <v>0</v>
      </c>
      <c r="K79" s="117"/>
      <c r="L79" s="117"/>
      <c r="M79" s="118">
        <f t="shared" ref="M79:M142" si="10">K79*L79</f>
        <v>0</v>
      </c>
      <c r="N79" s="117"/>
      <c r="O79" s="117"/>
      <c r="P79" s="118">
        <f t="shared" si="8"/>
        <v>0</v>
      </c>
      <c r="Q79" s="117"/>
      <c r="R79" s="117"/>
      <c r="S79" s="118">
        <f t="shared" si="9"/>
        <v>0</v>
      </c>
    </row>
    <row r="80" spans="8:19" ht="14.25">
      <c r="H80" s="117"/>
      <c r="I80" s="117"/>
      <c r="J80" s="118">
        <f t="shared" si="7"/>
        <v>0</v>
      </c>
      <c r="K80" s="117"/>
      <c r="L80" s="117"/>
      <c r="M80" s="118">
        <f t="shared" si="10"/>
        <v>0</v>
      </c>
      <c r="N80" s="117"/>
      <c r="O80" s="117"/>
      <c r="P80" s="118">
        <f t="shared" si="8"/>
        <v>0</v>
      </c>
      <c r="Q80" s="117"/>
      <c r="R80" s="117"/>
      <c r="S80" s="118">
        <f t="shared" si="9"/>
        <v>0</v>
      </c>
    </row>
    <row r="81" spans="8:19" ht="14.25">
      <c r="H81" s="117"/>
      <c r="I81" s="117"/>
      <c r="J81" s="118">
        <f t="shared" si="7"/>
        <v>0</v>
      </c>
      <c r="K81" s="117"/>
      <c r="L81" s="117"/>
      <c r="M81" s="118">
        <f t="shared" si="10"/>
        <v>0</v>
      </c>
      <c r="N81" s="117"/>
      <c r="O81" s="117"/>
      <c r="P81" s="118">
        <f t="shared" si="8"/>
        <v>0</v>
      </c>
      <c r="Q81" s="117"/>
      <c r="R81" s="117"/>
      <c r="S81" s="118">
        <f t="shared" si="9"/>
        <v>0</v>
      </c>
    </row>
    <row r="82" spans="8:19" ht="14.25">
      <c r="H82" s="117"/>
      <c r="I82" s="117"/>
      <c r="J82" s="118">
        <f t="shared" si="7"/>
        <v>0</v>
      </c>
      <c r="K82" s="117"/>
      <c r="L82" s="117"/>
      <c r="M82" s="118">
        <f t="shared" si="10"/>
        <v>0</v>
      </c>
      <c r="N82" s="117"/>
      <c r="O82" s="117"/>
      <c r="P82" s="118">
        <f t="shared" si="8"/>
        <v>0</v>
      </c>
      <c r="Q82" s="117"/>
      <c r="R82" s="117"/>
      <c r="S82" s="118">
        <f t="shared" si="9"/>
        <v>0</v>
      </c>
    </row>
    <row r="83" spans="8:19" ht="14.25">
      <c r="H83" s="117"/>
      <c r="I83" s="117"/>
      <c r="J83" s="118">
        <f t="shared" si="7"/>
        <v>0</v>
      </c>
      <c r="K83" s="117"/>
      <c r="L83" s="117"/>
      <c r="M83" s="118">
        <f t="shared" si="10"/>
        <v>0</v>
      </c>
      <c r="N83" s="117"/>
      <c r="O83" s="117"/>
      <c r="P83" s="118">
        <f t="shared" si="8"/>
        <v>0</v>
      </c>
      <c r="Q83" s="117"/>
      <c r="R83" s="117"/>
      <c r="S83" s="118">
        <f t="shared" si="9"/>
        <v>0</v>
      </c>
    </row>
    <row r="84" spans="8:19" ht="14.25">
      <c r="H84" s="117"/>
      <c r="I84" s="117"/>
      <c r="J84" s="118">
        <f t="shared" si="7"/>
        <v>0</v>
      </c>
      <c r="K84" s="117"/>
      <c r="L84" s="117"/>
      <c r="M84" s="118">
        <f t="shared" si="10"/>
        <v>0</v>
      </c>
      <c r="N84" s="117"/>
      <c r="O84" s="117"/>
      <c r="P84" s="118">
        <f t="shared" si="8"/>
        <v>0</v>
      </c>
      <c r="Q84" s="117"/>
      <c r="R84" s="117"/>
      <c r="S84" s="118">
        <f t="shared" si="9"/>
        <v>0</v>
      </c>
    </row>
    <row r="85" spans="8:19" ht="14.25">
      <c r="H85" s="117"/>
      <c r="I85" s="117"/>
      <c r="J85" s="118">
        <f t="shared" si="7"/>
        <v>0</v>
      </c>
      <c r="K85" s="117"/>
      <c r="L85" s="117"/>
      <c r="M85" s="118">
        <f t="shared" si="10"/>
        <v>0</v>
      </c>
      <c r="N85" s="117"/>
      <c r="O85" s="117"/>
      <c r="P85" s="118">
        <f t="shared" si="8"/>
        <v>0</v>
      </c>
      <c r="Q85" s="117"/>
      <c r="R85" s="117"/>
      <c r="S85" s="118">
        <f t="shared" si="9"/>
        <v>0</v>
      </c>
    </row>
    <row r="86" spans="8:19" ht="14.25">
      <c r="H86" s="117"/>
      <c r="I86" s="117"/>
      <c r="J86" s="118">
        <f t="shared" si="7"/>
        <v>0</v>
      </c>
      <c r="K86" s="117"/>
      <c r="L86" s="117"/>
      <c r="M86" s="118">
        <f t="shared" si="10"/>
        <v>0</v>
      </c>
      <c r="N86" s="117"/>
      <c r="O86" s="117"/>
      <c r="P86" s="118">
        <f t="shared" si="8"/>
        <v>0</v>
      </c>
      <c r="Q86" s="117"/>
      <c r="R86" s="117"/>
      <c r="S86" s="118">
        <f t="shared" si="9"/>
        <v>0</v>
      </c>
    </row>
    <row r="87" spans="8:19" ht="14.25">
      <c r="H87" s="117"/>
      <c r="I87" s="117"/>
      <c r="J87" s="118">
        <f t="shared" si="7"/>
        <v>0</v>
      </c>
      <c r="K87" s="117"/>
      <c r="L87" s="117"/>
      <c r="M87" s="118">
        <f t="shared" si="10"/>
        <v>0</v>
      </c>
      <c r="N87" s="117"/>
      <c r="O87" s="117"/>
      <c r="P87" s="118">
        <f t="shared" si="8"/>
        <v>0</v>
      </c>
      <c r="Q87" s="117"/>
      <c r="R87" s="117"/>
      <c r="S87" s="118">
        <f t="shared" si="9"/>
        <v>0</v>
      </c>
    </row>
    <row r="88" spans="8:19" ht="14.25">
      <c r="H88" s="117"/>
      <c r="I88" s="117"/>
      <c r="J88" s="118">
        <f t="shared" si="7"/>
        <v>0</v>
      </c>
      <c r="K88" s="117"/>
      <c r="L88" s="117"/>
      <c r="M88" s="118">
        <f t="shared" si="10"/>
        <v>0</v>
      </c>
      <c r="N88" s="117"/>
      <c r="O88" s="117"/>
      <c r="P88" s="118">
        <f t="shared" si="8"/>
        <v>0</v>
      </c>
      <c r="Q88" s="117"/>
      <c r="R88" s="117"/>
      <c r="S88" s="118">
        <f t="shared" si="9"/>
        <v>0</v>
      </c>
    </row>
    <row r="89" spans="8:19" ht="14.25">
      <c r="H89" s="117"/>
      <c r="I89" s="117"/>
      <c r="J89" s="118">
        <f t="shared" si="7"/>
        <v>0</v>
      </c>
      <c r="K89" s="117"/>
      <c r="L89" s="117"/>
      <c r="M89" s="118">
        <f t="shared" si="10"/>
        <v>0</v>
      </c>
      <c r="N89" s="117"/>
      <c r="O89" s="117"/>
      <c r="P89" s="118">
        <f t="shared" si="8"/>
        <v>0</v>
      </c>
      <c r="Q89" s="117"/>
      <c r="R89" s="117"/>
      <c r="S89" s="118">
        <f t="shared" si="9"/>
        <v>0</v>
      </c>
    </row>
    <row r="90" spans="8:19" ht="14.25">
      <c r="H90" s="117"/>
      <c r="I90" s="117"/>
      <c r="J90" s="118">
        <f t="shared" si="7"/>
        <v>0</v>
      </c>
      <c r="K90" s="117"/>
      <c r="L90" s="117"/>
      <c r="M90" s="118">
        <f t="shared" si="10"/>
        <v>0</v>
      </c>
      <c r="N90" s="117"/>
      <c r="O90" s="117"/>
      <c r="P90" s="118">
        <f t="shared" si="8"/>
        <v>0</v>
      </c>
      <c r="Q90" s="117"/>
      <c r="R90" s="117"/>
      <c r="S90" s="118">
        <f t="shared" si="9"/>
        <v>0</v>
      </c>
    </row>
    <row r="91" spans="8:19" ht="14.25">
      <c r="H91" s="117"/>
      <c r="I91" s="117"/>
      <c r="J91" s="118">
        <f t="shared" si="7"/>
        <v>0</v>
      </c>
      <c r="K91" s="117"/>
      <c r="L91" s="117"/>
      <c r="M91" s="118">
        <f t="shared" si="10"/>
        <v>0</v>
      </c>
      <c r="N91" s="117"/>
      <c r="O91" s="117"/>
      <c r="P91" s="118">
        <f t="shared" si="8"/>
        <v>0</v>
      </c>
      <c r="Q91" s="117"/>
      <c r="R91" s="117"/>
      <c r="S91" s="118">
        <f t="shared" si="9"/>
        <v>0</v>
      </c>
    </row>
    <row r="92" spans="8:19" ht="14.25">
      <c r="H92" s="117"/>
      <c r="I92" s="117"/>
      <c r="J92" s="118">
        <f t="shared" si="7"/>
        <v>0</v>
      </c>
      <c r="K92" s="117"/>
      <c r="L92" s="117"/>
      <c r="M92" s="118">
        <f t="shared" si="10"/>
        <v>0</v>
      </c>
      <c r="N92" s="117"/>
      <c r="O92" s="117"/>
      <c r="P92" s="118">
        <f t="shared" si="8"/>
        <v>0</v>
      </c>
      <c r="Q92" s="117"/>
      <c r="R92" s="117"/>
      <c r="S92" s="118">
        <f t="shared" si="9"/>
        <v>0</v>
      </c>
    </row>
    <row r="93" spans="8:19" ht="14.25">
      <c r="H93" s="117"/>
      <c r="I93" s="117"/>
      <c r="J93" s="118">
        <f t="shared" si="7"/>
        <v>0</v>
      </c>
      <c r="K93" s="117"/>
      <c r="L93" s="117"/>
      <c r="M93" s="118">
        <f t="shared" si="10"/>
        <v>0</v>
      </c>
      <c r="N93" s="117"/>
      <c r="O93" s="117"/>
      <c r="P93" s="118">
        <f t="shared" si="8"/>
        <v>0</v>
      </c>
      <c r="Q93" s="117"/>
      <c r="R93" s="117"/>
      <c r="S93" s="118">
        <f t="shared" si="9"/>
        <v>0</v>
      </c>
    </row>
    <row r="94" spans="8:19" ht="14.25">
      <c r="H94" s="117"/>
      <c r="I94" s="117"/>
      <c r="J94" s="118">
        <f t="shared" si="7"/>
        <v>0</v>
      </c>
      <c r="K94" s="117"/>
      <c r="L94" s="117"/>
      <c r="M94" s="118">
        <f t="shared" si="10"/>
        <v>0</v>
      </c>
      <c r="N94" s="117"/>
      <c r="O94" s="117"/>
      <c r="P94" s="118">
        <f t="shared" si="8"/>
        <v>0</v>
      </c>
      <c r="Q94" s="117"/>
      <c r="R94" s="117"/>
      <c r="S94" s="118">
        <f t="shared" si="9"/>
        <v>0</v>
      </c>
    </row>
    <row r="95" spans="8:19" ht="14.25">
      <c r="H95" s="117"/>
      <c r="I95" s="117"/>
      <c r="J95" s="118">
        <f t="shared" si="7"/>
        <v>0</v>
      </c>
      <c r="K95" s="117"/>
      <c r="L95" s="117"/>
      <c r="M95" s="118">
        <f t="shared" si="10"/>
        <v>0</v>
      </c>
      <c r="N95" s="117"/>
      <c r="O95" s="117"/>
      <c r="P95" s="118">
        <f t="shared" si="8"/>
        <v>0</v>
      </c>
      <c r="Q95" s="117"/>
      <c r="R95" s="117"/>
      <c r="S95" s="118">
        <f t="shared" si="9"/>
        <v>0</v>
      </c>
    </row>
    <row r="96" spans="8:19" ht="14.25">
      <c r="H96" s="117"/>
      <c r="I96" s="117"/>
      <c r="J96" s="118">
        <f t="shared" si="7"/>
        <v>0</v>
      </c>
      <c r="K96" s="117"/>
      <c r="L96" s="117"/>
      <c r="M96" s="118">
        <f t="shared" si="10"/>
        <v>0</v>
      </c>
      <c r="N96" s="117"/>
      <c r="O96" s="117"/>
      <c r="P96" s="118">
        <f t="shared" si="8"/>
        <v>0</v>
      </c>
      <c r="Q96" s="117"/>
      <c r="R96" s="117"/>
      <c r="S96" s="118">
        <f t="shared" si="9"/>
        <v>0</v>
      </c>
    </row>
    <row r="97" spans="8:19" ht="14.25">
      <c r="H97" s="117"/>
      <c r="I97" s="117"/>
      <c r="J97" s="118">
        <f t="shared" si="7"/>
        <v>0</v>
      </c>
      <c r="K97" s="117"/>
      <c r="L97" s="117"/>
      <c r="M97" s="118">
        <f t="shared" si="10"/>
        <v>0</v>
      </c>
      <c r="N97" s="117"/>
      <c r="O97" s="117"/>
      <c r="P97" s="118">
        <f t="shared" si="8"/>
        <v>0</v>
      </c>
      <c r="Q97" s="117"/>
      <c r="R97" s="117"/>
      <c r="S97" s="118">
        <f t="shared" si="9"/>
        <v>0</v>
      </c>
    </row>
    <row r="98" spans="8:19" ht="14.25">
      <c r="H98" s="117"/>
      <c r="I98" s="117"/>
      <c r="J98" s="118">
        <f t="shared" si="7"/>
        <v>0</v>
      </c>
      <c r="K98" s="117"/>
      <c r="L98" s="117"/>
      <c r="M98" s="118">
        <f t="shared" si="10"/>
        <v>0</v>
      </c>
      <c r="N98" s="117"/>
      <c r="O98" s="117"/>
      <c r="P98" s="118">
        <f t="shared" si="8"/>
        <v>0</v>
      </c>
      <c r="Q98" s="117"/>
      <c r="R98" s="117"/>
      <c r="S98" s="118">
        <f t="shared" si="9"/>
        <v>0</v>
      </c>
    </row>
    <row r="99" spans="8:19" ht="14.25">
      <c r="H99" s="117"/>
      <c r="I99" s="117"/>
      <c r="J99" s="118">
        <f t="shared" si="7"/>
        <v>0</v>
      </c>
      <c r="K99" s="117"/>
      <c r="L99" s="117"/>
      <c r="M99" s="118">
        <f t="shared" si="10"/>
        <v>0</v>
      </c>
      <c r="N99" s="117"/>
      <c r="O99" s="117"/>
      <c r="P99" s="118">
        <f t="shared" si="8"/>
        <v>0</v>
      </c>
      <c r="Q99" s="117"/>
      <c r="R99" s="117"/>
      <c r="S99" s="118">
        <f t="shared" si="9"/>
        <v>0</v>
      </c>
    </row>
    <row r="100" spans="8:19" ht="14.25">
      <c r="H100" s="117"/>
      <c r="I100" s="117"/>
      <c r="J100" s="118">
        <f t="shared" si="7"/>
        <v>0</v>
      </c>
      <c r="K100" s="117"/>
      <c r="L100" s="117"/>
      <c r="M100" s="118">
        <f t="shared" si="10"/>
        <v>0</v>
      </c>
      <c r="N100" s="117"/>
      <c r="O100" s="117"/>
      <c r="P100" s="118">
        <f t="shared" si="8"/>
        <v>0</v>
      </c>
      <c r="Q100" s="117"/>
      <c r="R100" s="117"/>
      <c r="S100" s="118">
        <f t="shared" si="9"/>
        <v>0</v>
      </c>
    </row>
    <row r="101" spans="8:19" ht="14.25">
      <c r="H101" s="117"/>
      <c r="I101" s="117"/>
      <c r="J101" s="118">
        <f t="shared" si="7"/>
        <v>0</v>
      </c>
      <c r="K101" s="117"/>
      <c r="L101" s="117"/>
      <c r="M101" s="118">
        <f t="shared" si="10"/>
        <v>0</v>
      </c>
      <c r="N101" s="117"/>
      <c r="O101" s="117"/>
      <c r="P101" s="118">
        <f t="shared" si="8"/>
        <v>0</v>
      </c>
      <c r="Q101" s="117"/>
      <c r="R101" s="117"/>
      <c r="S101" s="118">
        <f t="shared" si="9"/>
        <v>0</v>
      </c>
    </row>
    <row r="102" spans="8:19" ht="14.25">
      <c r="H102" s="117"/>
      <c r="I102" s="117"/>
      <c r="J102" s="118">
        <f t="shared" si="7"/>
        <v>0</v>
      </c>
      <c r="K102" s="117"/>
      <c r="L102" s="117"/>
      <c r="M102" s="118">
        <f t="shared" si="10"/>
        <v>0</v>
      </c>
      <c r="N102" s="117"/>
      <c r="O102" s="117"/>
      <c r="P102" s="118">
        <f t="shared" si="8"/>
        <v>0</v>
      </c>
      <c r="Q102" s="117"/>
      <c r="R102" s="117"/>
      <c r="S102" s="118">
        <f t="shared" si="9"/>
        <v>0</v>
      </c>
    </row>
    <row r="103" spans="8:19" ht="14.25">
      <c r="H103" s="117"/>
      <c r="I103" s="117"/>
      <c r="J103" s="118">
        <f t="shared" si="7"/>
        <v>0</v>
      </c>
      <c r="K103" s="117"/>
      <c r="L103" s="117"/>
      <c r="M103" s="118">
        <f t="shared" si="10"/>
        <v>0</v>
      </c>
      <c r="N103" s="117"/>
      <c r="O103" s="117"/>
      <c r="P103" s="118">
        <f t="shared" si="8"/>
        <v>0</v>
      </c>
      <c r="Q103" s="117"/>
      <c r="R103" s="117"/>
      <c r="S103" s="118">
        <f t="shared" si="9"/>
        <v>0</v>
      </c>
    </row>
    <row r="104" spans="8:19" ht="14.25">
      <c r="H104" s="117"/>
      <c r="I104" s="117"/>
      <c r="J104" s="118">
        <f t="shared" si="7"/>
        <v>0</v>
      </c>
      <c r="K104" s="117"/>
      <c r="L104" s="117"/>
      <c r="M104" s="118">
        <f t="shared" si="10"/>
        <v>0</v>
      </c>
      <c r="N104" s="117"/>
      <c r="O104" s="117"/>
      <c r="P104" s="118">
        <f t="shared" si="8"/>
        <v>0</v>
      </c>
      <c r="Q104" s="117"/>
      <c r="R104" s="117"/>
      <c r="S104" s="118">
        <f t="shared" si="9"/>
        <v>0</v>
      </c>
    </row>
    <row r="105" spans="8:19" ht="14.25">
      <c r="H105" s="117"/>
      <c r="I105" s="117"/>
      <c r="J105" s="118">
        <f t="shared" si="7"/>
        <v>0</v>
      </c>
      <c r="K105" s="117"/>
      <c r="L105" s="117"/>
      <c r="M105" s="118">
        <f t="shared" si="10"/>
        <v>0</v>
      </c>
      <c r="N105" s="117"/>
      <c r="O105" s="117"/>
      <c r="P105" s="118">
        <f t="shared" si="8"/>
        <v>0</v>
      </c>
      <c r="Q105" s="117"/>
      <c r="R105" s="117"/>
      <c r="S105" s="118">
        <f t="shared" si="9"/>
        <v>0</v>
      </c>
    </row>
    <row r="106" spans="8:19" ht="14.25">
      <c r="H106" s="117"/>
      <c r="I106" s="117"/>
      <c r="J106" s="118">
        <f t="shared" si="7"/>
        <v>0</v>
      </c>
      <c r="K106" s="117"/>
      <c r="L106" s="117"/>
      <c r="M106" s="118">
        <f t="shared" si="10"/>
        <v>0</v>
      </c>
      <c r="N106" s="117"/>
      <c r="O106" s="117"/>
      <c r="P106" s="118">
        <f t="shared" si="8"/>
        <v>0</v>
      </c>
      <c r="Q106" s="117"/>
      <c r="R106" s="117"/>
      <c r="S106" s="118">
        <f t="shared" si="9"/>
        <v>0</v>
      </c>
    </row>
    <row r="107" spans="8:19" ht="14.25">
      <c r="H107" s="117"/>
      <c r="I107" s="117"/>
      <c r="J107" s="118">
        <f t="shared" si="7"/>
        <v>0</v>
      </c>
      <c r="K107" s="117"/>
      <c r="L107" s="117"/>
      <c r="M107" s="118">
        <f t="shared" si="10"/>
        <v>0</v>
      </c>
      <c r="N107" s="117"/>
      <c r="O107" s="117"/>
      <c r="P107" s="118">
        <f t="shared" si="8"/>
        <v>0</v>
      </c>
      <c r="Q107" s="117"/>
      <c r="R107" s="117"/>
      <c r="S107" s="118">
        <f t="shared" si="9"/>
        <v>0</v>
      </c>
    </row>
    <row r="108" spans="8:19" ht="14.25">
      <c r="H108" s="117"/>
      <c r="I108" s="117"/>
      <c r="J108" s="118">
        <f t="shared" si="7"/>
        <v>0</v>
      </c>
      <c r="K108" s="117"/>
      <c r="L108" s="117"/>
      <c r="M108" s="118">
        <f t="shared" si="10"/>
        <v>0</v>
      </c>
      <c r="N108" s="117"/>
      <c r="O108" s="117"/>
      <c r="P108" s="118">
        <f t="shared" si="8"/>
        <v>0</v>
      </c>
      <c r="Q108" s="117"/>
      <c r="R108" s="117"/>
      <c r="S108" s="118">
        <f t="shared" si="9"/>
        <v>0</v>
      </c>
    </row>
    <row r="109" spans="8:19" ht="14.25">
      <c r="H109" s="117"/>
      <c r="I109" s="117"/>
      <c r="J109" s="118">
        <f t="shared" si="7"/>
        <v>0</v>
      </c>
      <c r="K109" s="117"/>
      <c r="L109" s="117"/>
      <c r="M109" s="118">
        <f t="shared" si="10"/>
        <v>0</v>
      </c>
      <c r="N109" s="117"/>
      <c r="O109" s="117"/>
      <c r="P109" s="118">
        <f t="shared" si="8"/>
        <v>0</v>
      </c>
      <c r="Q109" s="117"/>
      <c r="R109" s="117"/>
      <c r="S109" s="118">
        <f t="shared" si="9"/>
        <v>0</v>
      </c>
    </row>
    <row r="110" spans="8:19" ht="14.25">
      <c r="H110" s="117"/>
      <c r="I110" s="117"/>
      <c r="J110" s="118">
        <f t="shared" si="7"/>
        <v>0</v>
      </c>
      <c r="K110" s="117"/>
      <c r="L110" s="117"/>
      <c r="M110" s="118">
        <f t="shared" si="10"/>
        <v>0</v>
      </c>
      <c r="N110" s="117"/>
      <c r="O110" s="117"/>
      <c r="P110" s="118">
        <f t="shared" si="8"/>
        <v>0</v>
      </c>
      <c r="Q110" s="117"/>
      <c r="R110" s="117"/>
      <c r="S110" s="118">
        <f t="shared" si="9"/>
        <v>0</v>
      </c>
    </row>
    <row r="111" spans="8:19" ht="14.25">
      <c r="H111" s="117"/>
      <c r="I111" s="117"/>
      <c r="J111" s="118">
        <f t="shared" si="7"/>
        <v>0</v>
      </c>
      <c r="K111" s="117"/>
      <c r="L111" s="117"/>
      <c r="M111" s="118">
        <f t="shared" si="10"/>
        <v>0</v>
      </c>
      <c r="N111" s="117"/>
      <c r="O111" s="117"/>
      <c r="P111" s="118">
        <f t="shared" si="8"/>
        <v>0</v>
      </c>
      <c r="Q111" s="117"/>
      <c r="R111" s="117"/>
      <c r="S111" s="118">
        <f t="shared" si="9"/>
        <v>0</v>
      </c>
    </row>
    <row r="112" spans="8:19" ht="14.25">
      <c r="H112" s="117"/>
      <c r="I112" s="117"/>
      <c r="J112" s="118">
        <f t="shared" si="7"/>
        <v>0</v>
      </c>
      <c r="K112" s="117"/>
      <c r="L112" s="117"/>
      <c r="M112" s="118">
        <f t="shared" si="10"/>
        <v>0</v>
      </c>
      <c r="N112" s="117"/>
      <c r="O112" s="117"/>
      <c r="P112" s="118">
        <f t="shared" si="8"/>
        <v>0</v>
      </c>
      <c r="Q112" s="117"/>
      <c r="R112" s="117"/>
      <c r="S112" s="118">
        <f t="shared" si="9"/>
        <v>0</v>
      </c>
    </row>
    <row r="113" spans="8:19" ht="14.25">
      <c r="H113" s="117"/>
      <c r="I113" s="117"/>
      <c r="J113" s="118">
        <f t="shared" si="7"/>
        <v>0</v>
      </c>
      <c r="K113" s="117"/>
      <c r="L113" s="117"/>
      <c r="M113" s="118">
        <f t="shared" si="10"/>
        <v>0</v>
      </c>
      <c r="N113" s="117"/>
      <c r="O113" s="117"/>
      <c r="P113" s="118">
        <f t="shared" si="8"/>
        <v>0</v>
      </c>
      <c r="Q113" s="117"/>
      <c r="R113" s="117"/>
      <c r="S113" s="118">
        <f t="shared" si="9"/>
        <v>0</v>
      </c>
    </row>
    <row r="114" spans="8:19" ht="14.25">
      <c r="H114" s="117"/>
      <c r="I114" s="117"/>
      <c r="J114" s="118">
        <f t="shared" si="7"/>
        <v>0</v>
      </c>
      <c r="K114" s="117"/>
      <c r="L114" s="117"/>
      <c r="M114" s="118">
        <f t="shared" si="10"/>
        <v>0</v>
      </c>
      <c r="N114" s="117"/>
      <c r="O114" s="117"/>
      <c r="P114" s="118">
        <f t="shared" si="8"/>
        <v>0</v>
      </c>
      <c r="Q114" s="117"/>
      <c r="R114" s="117"/>
      <c r="S114" s="118">
        <f t="shared" si="9"/>
        <v>0</v>
      </c>
    </row>
    <row r="115" spans="8:19" ht="14.25">
      <c r="H115" s="117"/>
      <c r="I115" s="117"/>
      <c r="J115" s="118">
        <f t="shared" si="7"/>
        <v>0</v>
      </c>
      <c r="K115" s="117"/>
      <c r="L115" s="117"/>
      <c r="M115" s="118">
        <f t="shared" si="10"/>
        <v>0</v>
      </c>
      <c r="N115" s="117"/>
      <c r="O115" s="117"/>
      <c r="P115" s="118">
        <f t="shared" si="8"/>
        <v>0</v>
      </c>
      <c r="Q115" s="117"/>
      <c r="R115" s="117"/>
      <c r="S115" s="118">
        <f t="shared" si="9"/>
        <v>0</v>
      </c>
    </row>
    <row r="116" spans="8:19" ht="14.25">
      <c r="H116" s="117"/>
      <c r="I116" s="117"/>
      <c r="J116" s="118">
        <f t="shared" si="7"/>
        <v>0</v>
      </c>
      <c r="K116" s="117"/>
      <c r="L116" s="117"/>
      <c r="M116" s="118">
        <f t="shared" si="10"/>
        <v>0</v>
      </c>
      <c r="N116" s="117"/>
      <c r="O116" s="117"/>
      <c r="P116" s="118">
        <f t="shared" si="8"/>
        <v>0</v>
      </c>
      <c r="Q116" s="117"/>
      <c r="R116" s="117"/>
      <c r="S116" s="118">
        <f t="shared" si="9"/>
        <v>0</v>
      </c>
    </row>
    <row r="117" spans="8:19" ht="14.25">
      <c r="H117" s="117"/>
      <c r="I117" s="117"/>
      <c r="J117" s="118">
        <f t="shared" si="7"/>
        <v>0</v>
      </c>
      <c r="K117" s="117"/>
      <c r="L117" s="117"/>
      <c r="M117" s="118">
        <f t="shared" si="10"/>
        <v>0</v>
      </c>
      <c r="N117" s="117"/>
      <c r="O117" s="117"/>
      <c r="P117" s="118">
        <f t="shared" si="8"/>
        <v>0</v>
      </c>
      <c r="Q117" s="117"/>
      <c r="R117" s="117"/>
      <c r="S117" s="118">
        <f t="shared" si="9"/>
        <v>0</v>
      </c>
    </row>
    <row r="118" spans="8:19" ht="14.25">
      <c r="H118" s="117"/>
      <c r="I118" s="117"/>
      <c r="J118" s="118">
        <f t="shared" si="7"/>
        <v>0</v>
      </c>
      <c r="K118" s="117"/>
      <c r="L118" s="117"/>
      <c r="M118" s="118">
        <f t="shared" si="10"/>
        <v>0</v>
      </c>
      <c r="N118" s="117"/>
      <c r="O118" s="117"/>
      <c r="P118" s="118">
        <f t="shared" si="8"/>
        <v>0</v>
      </c>
      <c r="Q118" s="117"/>
      <c r="R118" s="117"/>
      <c r="S118" s="118">
        <f t="shared" si="9"/>
        <v>0</v>
      </c>
    </row>
    <row r="119" spans="8:19" ht="14.25">
      <c r="H119" s="117"/>
      <c r="I119" s="117"/>
      <c r="J119" s="118">
        <f t="shared" si="7"/>
        <v>0</v>
      </c>
      <c r="K119" s="117"/>
      <c r="L119" s="117"/>
      <c r="M119" s="118">
        <f t="shared" si="10"/>
        <v>0</v>
      </c>
      <c r="N119" s="117"/>
      <c r="O119" s="117"/>
      <c r="P119" s="118">
        <f t="shared" si="8"/>
        <v>0</v>
      </c>
      <c r="Q119" s="117"/>
      <c r="R119" s="117"/>
      <c r="S119" s="118">
        <f t="shared" si="9"/>
        <v>0</v>
      </c>
    </row>
    <row r="120" spans="8:19" ht="14.25">
      <c r="H120" s="117"/>
      <c r="I120" s="117"/>
      <c r="J120" s="118">
        <f t="shared" si="7"/>
        <v>0</v>
      </c>
      <c r="K120" s="117"/>
      <c r="L120" s="117"/>
      <c r="M120" s="118">
        <f t="shared" si="10"/>
        <v>0</v>
      </c>
      <c r="N120" s="117"/>
      <c r="O120" s="117"/>
      <c r="P120" s="118">
        <f t="shared" si="8"/>
        <v>0</v>
      </c>
      <c r="Q120" s="117"/>
      <c r="R120" s="117"/>
      <c r="S120" s="118">
        <f t="shared" si="9"/>
        <v>0</v>
      </c>
    </row>
    <row r="121" spans="8:19" ht="14.25">
      <c r="H121" s="117"/>
      <c r="I121" s="117"/>
      <c r="J121" s="118">
        <f t="shared" si="7"/>
        <v>0</v>
      </c>
      <c r="K121" s="117"/>
      <c r="L121" s="117"/>
      <c r="M121" s="118">
        <f t="shared" si="10"/>
        <v>0</v>
      </c>
      <c r="N121" s="117"/>
      <c r="O121" s="117"/>
      <c r="P121" s="118">
        <f t="shared" si="8"/>
        <v>0</v>
      </c>
      <c r="Q121" s="117"/>
      <c r="R121" s="117"/>
      <c r="S121" s="118">
        <f t="shared" si="9"/>
        <v>0</v>
      </c>
    </row>
    <row r="122" spans="8:19" ht="14.25">
      <c r="H122" s="117"/>
      <c r="I122" s="117"/>
      <c r="J122" s="118">
        <f t="shared" si="7"/>
        <v>0</v>
      </c>
      <c r="K122" s="117"/>
      <c r="L122" s="117"/>
      <c r="M122" s="118">
        <f t="shared" si="10"/>
        <v>0</v>
      </c>
      <c r="N122" s="117"/>
      <c r="O122" s="117"/>
      <c r="P122" s="118">
        <f t="shared" si="8"/>
        <v>0</v>
      </c>
      <c r="Q122" s="117"/>
      <c r="R122" s="117"/>
      <c r="S122" s="118">
        <f t="shared" si="9"/>
        <v>0</v>
      </c>
    </row>
    <row r="123" spans="8:19" ht="14.25">
      <c r="H123" s="117"/>
      <c r="I123" s="117"/>
      <c r="J123" s="118">
        <f t="shared" si="7"/>
        <v>0</v>
      </c>
      <c r="K123" s="117"/>
      <c r="L123" s="117"/>
      <c r="M123" s="118">
        <f t="shared" si="10"/>
        <v>0</v>
      </c>
      <c r="N123" s="117"/>
      <c r="O123" s="117"/>
      <c r="P123" s="118">
        <f t="shared" si="8"/>
        <v>0</v>
      </c>
      <c r="Q123" s="117"/>
      <c r="R123" s="117"/>
      <c r="S123" s="118">
        <f t="shared" si="9"/>
        <v>0</v>
      </c>
    </row>
    <row r="124" spans="8:19" ht="14.25">
      <c r="H124" s="117"/>
      <c r="I124" s="117"/>
      <c r="J124" s="118">
        <f t="shared" si="7"/>
        <v>0</v>
      </c>
      <c r="K124" s="117"/>
      <c r="L124" s="117"/>
      <c r="M124" s="118">
        <f t="shared" si="10"/>
        <v>0</v>
      </c>
      <c r="N124" s="117"/>
      <c r="O124" s="117"/>
      <c r="P124" s="118">
        <f t="shared" si="8"/>
        <v>0</v>
      </c>
      <c r="Q124" s="117"/>
      <c r="R124" s="117"/>
      <c r="S124" s="118">
        <f t="shared" si="9"/>
        <v>0</v>
      </c>
    </row>
    <row r="125" spans="8:19" ht="14.25">
      <c r="H125" s="117"/>
      <c r="I125" s="117"/>
      <c r="J125" s="118">
        <f t="shared" si="7"/>
        <v>0</v>
      </c>
      <c r="K125" s="117"/>
      <c r="L125" s="117"/>
      <c r="M125" s="118">
        <f t="shared" si="10"/>
        <v>0</v>
      </c>
      <c r="N125" s="117"/>
      <c r="O125" s="117"/>
      <c r="P125" s="118">
        <f t="shared" si="8"/>
        <v>0</v>
      </c>
      <c r="Q125" s="117"/>
      <c r="R125" s="117"/>
      <c r="S125" s="118">
        <f t="shared" si="9"/>
        <v>0</v>
      </c>
    </row>
    <row r="126" spans="8:19" ht="14.25">
      <c r="H126" s="117"/>
      <c r="I126" s="117"/>
      <c r="J126" s="118">
        <f t="shared" si="7"/>
        <v>0</v>
      </c>
      <c r="K126" s="117"/>
      <c r="L126" s="117"/>
      <c r="M126" s="118">
        <f t="shared" si="10"/>
        <v>0</v>
      </c>
      <c r="N126" s="117"/>
      <c r="O126" s="117"/>
      <c r="P126" s="118">
        <f t="shared" si="8"/>
        <v>0</v>
      </c>
      <c r="Q126" s="117"/>
      <c r="R126" s="117"/>
      <c r="S126" s="118">
        <f t="shared" si="9"/>
        <v>0</v>
      </c>
    </row>
    <row r="127" spans="8:19" ht="14.25">
      <c r="H127" s="117"/>
      <c r="I127" s="117"/>
      <c r="J127" s="118">
        <f t="shared" si="7"/>
        <v>0</v>
      </c>
      <c r="K127" s="117"/>
      <c r="L127" s="117"/>
      <c r="M127" s="118">
        <f t="shared" si="10"/>
        <v>0</v>
      </c>
      <c r="N127" s="117"/>
      <c r="O127" s="117"/>
      <c r="P127" s="118">
        <f t="shared" si="8"/>
        <v>0</v>
      </c>
      <c r="Q127" s="117"/>
      <c r="R127" s="117"/>
      <c r="S127" s="118">
        <f t="shared" si="9"/>
        <v>0</v>
      </c>
    </row>
    <row r="128" spans="8:19" ht="14.25">
      <c r="H128" s="117"/>
      <c r="I128" s="117"/>
      <c r="J128" s="118">
        <f t="shared" si="7"/>
        <v>0</v>
      </c>
      <c r="K128" s="117"/>
      <c r="L128" s="117"/>
      <c r="M128" s="118">
        <f t="shared" si="10"/>
        <v>0</v>
      </c>
      <c r="N128" s="117"/>
      <c r="O128" s="117"/>
      <c r="P128" s="118">
        <f t="shared" si="8"/>
        <v>0</v>
      </c>
      <c r="Q128" s="117"/>
      <c r="R128" s="117"/>
      <c r="S128" s="118">
        <f t="shared" si="9"/>
        <v>0</v>
      </c>
    </row>
    <row r="129" spans="8:19" ht="14.25">
      <c r="H129" s="117"/>
      <c r="I129" s="117"/>
      <c r="J129" s="118">
        <f t="shared" si="7"/>
        <v>0</v>
      </c>
      <c r="K129" s="117"/>
      <c r="L129" s="117"/>
      <c r="M129" s="118">
        <f t="shared" si="10"/>
        <v>0</v>
      </c>
      <c r="N129" s="117"/>
      <c r="O129" s="117"/>
      <c r="P129" s="118">
        <f t="shared" si="8"/>
        <v>0</v>
      </c>
      <c r="Q129" s="117"/>
      <c r="R129" s="117"/>
      <c r="S129" s="118">
        <f t="shared" si="9"/>
        <v>0</v>
      </c>
    </row>
    <row r="130" spans="8:19" ht="14.25">
      <c r="H130" s="117"/>
      <c r="I130" s="117"/>
      <c r="J130" s="118">
        <f t="shared" si="7"/>
        <v>0</v>
      </c>
      <c r="K130" s="117"/>
      <c r="L130" s="117"/>
      <c r="M130" s="118">
        <f t="shared" si="10"/>
        <v>0</v>
      </c>
      <c r="N130" s="117"/>
      <c r="O130" s="117"/>
      <c r="P130" s="118">
        <f t="shared" si="8"/>
        <v>0</v>
      </c>
      <c r="Q130" s="117"/>
      <c r="R130" s="117"/>
      <c r="S130" s="118">
        <f t="shared" si="9"/>
        <v>0</v>
      </c>
    </row>
    <row r="131" spans="8:19" ht="14.25">
      <c r="H131" s="117"/>
      <c r="I131" s="117"/>
      <c r="J131" s="118">
        <f t="shared" si="7"/>
        <v>0</v>
      </c>
      <c r="K131" s="117"/>
      <c r="L131" s="117"/>
      <c r="M131" s="118">
        <f t="shared" si="10"/>
        <v>0</v>
      </c>
      <c r="N131" s="117"/>
      <c r="O131" s="117"/>
      <c r="P131" s="118">
        <f t="shared" si="8"/>
        <v>0</v>
      </c>
      <c r="Q131" s="117"/>
      <c r="R131" s="117"/>
      <c r="S131" s="118">
        <f t="shared" si="9"/>
        <v>0</v>
      </c>
    </row>
    <row r="132" spans="8:19" ht="14.25">
      <c r="H132" s="117"/>
      <c r="I132" s="117"/>
      <c r="J132" s="118">
        <f t="shared" si="7"/>
        <v>0</v>
      </c>
      <c r="K132" s="117"/>
      <c r="L132" s="117"/>
      <c r="M132" s="118">
        <f t="shared" si="10"/>
        <v>0</v>
      </c>
      <c r="N132" s="117"/>
      <c r="O132" s="117"/>
      <c r="P132" s="118">
        <f t="shared" si="8"/>
        <v>0</v>
      </c>
      <c r="Q132" s="117"/>
      <c r="R132" s="117"/>
      <c r="S132" s="118">
        <f t="shared" si="9"/>
        <v>0</v>
      </c>
    </row>
    <row r="133" spans="8:19" ht="14.25">
      <c r="H133" s="117"/>
      <c r="I133" s="117"/>
      <c r="J133" s="118">
        <f t="shared" ref="J133:J196" si="11">H133*I133</f>
        <v>0</v>
      </c>
      <c r="K133" s="117"/>
      <c r="L133" s="117"/>
      <c r="M133" s="118">
        <f t="shared" si="10"/>
        <v>0</v>
      </c>
      <c r="N133" s="117"/>
      <c r="O133" s="117"/>
      <c r="P133" s="118">
        <f t="shared" si="8"/>
        <v>0</v>
      </c>
      <c r="Q133" s="117"/>
      <c r="R133" s="117"/>
      <c r="S133" s="118">
        <f t="shared" si="9"/>
        <v>0</v>
      </c>
    </row>
    <row r="134" spans="8:19" ht="14.25">
      <c r="H134" s="117"/>
      <c r="I134" s="117"/>
      <c r="J134" s="118">
        <f t="shared" si="11"/>
        <v>0</v>
      </c>
      <c r="K134" s="117"/>
      <c r="L134" s="117"/>
      <c r="M134" s="118">
        <f t="shared" si="10"/>
        <v>0</v>
      </c>
      <c r="N134" s="117"/>
      <c r="O134" s="117"/>
      <c r="P134" s="118">
        <f t="shared" si="8"/>
        <v>0</v>
      </c>
      <c r="Q134" s="117"/>
      <c r="R134" s="117"/>
      <c r="S134" s="118">
        <f t="shared" si="9"/>
        <v>0</v>
      </c>
    </row>
    <row r="135" spans="8:19" ht="14.25">
      <c r="H135" s="117"/>
      <c r="I135" s="117"/>
      <c r="J135" s="118">
        <f t="shared" si="11"/>
        <v>0</v>
      </c>
      <c r="K135" s="117"/>
      <c r="L135" s="117"/>
      <c r="M135" s="118">
        <f t="shared" si="10"/>
        <v>0</v>
      </c>
      <c r="N135" s="117"/>
      <c r="O135" s="117"/>
      <c r="P135" s="118">
        <f t="shared" si="8"/>
        <v>0</v>
      </c>
      <c r="Q135" s="117"/>
      <c r="R135" s="117"/>
      <c r="S135" s="118">
        <f t="shared" si="9"/>
        <v>0</v>
      </c>
    </row>
    <row r="136" spans="8:19" ht="14.25">
      <c r="H136" s="117"/>
      <c r="I136" s="117"/>
      <c r="J136" s="118">
        <f t="shared" si="11"/>
        <v>0</v>
      </c>
      <c r="K136" s="117"/>
      <c r="L136" s="117"/>
      <c r="M136" s="118">
        <f t="shared" si="10"/>
        <v>0</v>
      </c>
      <c r="N136" s="117"/>
      <c r="O136" s="117"/>
      <c r="P136" s="118">
        <f t="shared" si="8"/>
        <v>0</v>
      </c>
      <c r="Q136" s="117"/>
      <c r="R136" s="117"/>
      <c r="S136" s="118">
        <f t="shared" si="9"/>
        <v>0</v>
      </c>
    </row>
    <row r="137" spans="8:19" ht="14.25">
      <c r="H137" s="117"/>
      <c r="I137" s="117"/>
      <c r="J137" s="118">
        <f t="shared" si="11"/>
        <v>0</v>
      </c>
      <c r="K137" s="117"/>
      <c r="L137" s="117"/>
      <c r="M137" s="118">
        <f t="shared" si="10"/>
        <v>0</v>
      </c>
      <c r="N137" s="117"/>
      <c r="O137" s="117"/>
      <c r="P137" s="118">
        <f t="shared" si="8"/>
        <v>0</v>
      </c>
      <c r="Q137" s="117"/>
      <c r="R137" s="117"/>
      <c r="S137" s="118">
        <f t="shared" si="9"/>
        <v>0</v>
      </c>
    </row>
    <row r="138" spans="8:19" ht="14.25">
      <c r="H138" s="117"/>
      <c r="I138" s="117"/>
      <c r="J138" s="118">
        <f t="shared" si="11"/>
        <v>0</v>
      </c>
      <c r="K138" s="117"/>
      <c r="L138" s="117"/>
      <c r="M138" s="118">
        <f t="shared" si="10"/>
        <v>0</v>
      </c>
      <c r="N138" s="117"/>
      <c r="O138" s="117"/>
      <c r="P138" s="118">
        <f t="shared" si="8"/>
        <v>0</v>
      </c>
      <c r="Q138" s="117"/>
      <c r="R138" s="117"/>
      <c r="S138" s="118">
        <f t="shared" si="9"/>
        <v>0</v>
      </c>
    </row>
    <row r="139" spans="8:19" ht="14.25">
      <c r="H139" s="117"/>
      <c r="I139" s="117"/>
      <c r="J139" s="118">
        <f t="shared" si="11"/>
        <v>0</v>
      </c>
      <c r="K139" s="117"/>
      <c r="L139" s="117"/>
      <c r="M139" s="118">
        <f t="shared" si="10"/>
        <v>0</v>
      </c>
      <c r="N139" s="117"/>
      <c r="O139" s="117"/>
      <c r="P139" s="118">
        <f t="shared" si="8"/>
        <v>0</v>
      </c>
      <c r="Q139" s="117"/>
      <c r="R139" s="117"/>
      <c r="S139" s="118">
        <f t="shared" si="9"/>
        <v>0</v>
      </c>
    </row>
    <row r="140" spans="8:19" ht="14.25">
      <c r="H140" s="117"/>
      <c r="I140" s="117"/>
      <c r="J140" s="118">
        <f t="shared" si="11"/>
        <v>0</v>
      </c>
      <c r="K140" s="117"/>
      <c r="L140" s="117"/>
      <c r="M140" s="118">
        <f t="shared" si="10"/>
        <v>0</v>
      </c>
      <c r="N140" s="117"/>
      <c r="O140" s="117"/>
      <c r="P140" s="118">
        <f t="shared" si="8"/>
        <v>0</v>
      </c>
      <c r="Q140" s="117"/>
      <c r="R140" s="117"/>
      <c r="S140" s="118">
        <f t="shared" si="9"/>
        <v>0</v>
      </c>
    </row>
    <row r="141" spans="8:19" ht="14.25">
      <c r="H141" s="117"/>
      <c r="I141" s="117"/>
      <c r="J141" s="118">
        <f t="shared" si="11"/>
        <v>0</v>
      </c>
      <c r="K141" s="117"/>
      <c r="L141" s="117"/>
      <c r="M141" s="118">
        <f t="shared" si="10"/>
        <v>0</v>
      </c>
      <c r="N141" s="117"/>
      <c r="O141" s="117"/>
      <c r="P141" s="118">
        <f t="shared" ref="P141:P204" si="12">N141*O141</f>
        <v>0</v>
      </c>
      <c r="Q141" s="117"/>
      <c r="R141" s="117"/>
      <c r="S141" s="118">
        <f t="shared" si="9"/>
        <v>0</v>
      </c>
    </row>
    <row r="142" spans="8:19" ht="14.25">
      <c r="H142" s="117"/>
      <c r="I142" s="117"/>
      <c r="J142" s="118">
        <f t="shared" si="11"/>
        <v>0</v>
      </c>
      <c r="K142" s="117"/>
      <c r="L142" s="117"/>
      <c r="M142" s="118">
        <f t="shared" si="10"/>
        <v>0</v>
      </c>
      <c r="N142" s="117"/>
      <c r="O142" s="117"/>
      <c r="P142" s="118">
        <f t="shared" si="12"/>
        <v>0</v>
      </c>
      <c r="Q142" s="117"/>
      <c r="R142" s="117"/>
      <c r="S142" s="118">
        <f t="shared" ref="S142:S205" si="13">Q142*R142</f>
        <v>0</v>
      </c>
    </row>
    <row r="143" spans="8:19" ht="14.25">
      <c r="H143" s="117"/>
      <c r="I143" s="117"/>
      <c r="J143" s="118">
        <f t="shared" si="11"/>
        <v>0</v>
      </c>
      <c r="K143" s="117"/>
      <c r="L143" s="117"/>
      <c r="M143" s="118">
        <f t="shared" ref="M143:M206" si="14">K143*L143</f>
        <v>0</v>
      </c>
      <c r="N143" s="117"/>
      <c r="O143" s="117"/>
      <c r="P143" s="118">
        <f t="shared" si="12"/>
        <v>0</v>
      </c>
      <c r="Q143" s="117"/>
      <c r="R143" s="117"/>
      <c r="S143" s="118">
        <f t="shared" si="13"/>
        <v>0</v>
      </c>
    </row>
    <row r="144" spans="8:19" ht="14.25">
      <c r="H144" s="117"/>
      <c r="I144" s="117"/>
      <c r="J144" s="118">
        <f t="shared" si="11"/>
        <v>0</v>
      </c>
      <c r="K144" s="117"/>
      <c r="L144" s="117"/>
      <c r="M144" s="118">
        <f t="shared" si="14"/>
        <v>0</v>
      </c>
      <c r="N144" s="117"/>
      <c r="O144" s="117"/>
      <c r="P144" s="118">
        <f t="shared" si="12"/>
        <v>0</v>
      </c>
      <c r="Q144" s="117"/>
      <c r="R144" s="117"/>
      <c r="S144" s="118">
        <f t="shared" si="13"/>
        <v>0</v>
      </c>
    </row>
    <row r="145" spans="8:19" ht="14.25">
      <c r="H145" s="117"/>
      <c r="I145" s="117"/>
      <c r="J145" s="118">
        <f t="shared" si="11"/>
        <v>0</v>
      </c>
      <c r="K145" s="117"/>
      <c r="L145" s="117"/>
      <c r="M145" s="118">
        <f t="shared" si="14"/>
        <v>0</v>
      </c>
      <c r="N145" s="117"/>
      <c r="O145" s="117"/>
      <c r="P145" s="118">
        <f t="shared" si="12"/>
        <v>0</v>
      </c>
      <c r="Q145" s="117"/>
      <c r="R145" s="117"/>
      <c r="S145" s="118">
        <f t="shared" si="13"/>
        <v>0</v>
      </c>
    </row>
    <row r="146" spans="8:19" ht="14.25">
      <c r="H146" s="117"/>
      <c r="I146" s="117"/>
      <c r="J146" s="118">
        <f t="shared" si="11"/>
        <v>0</v>
      </c>
      <c r="K146" s="117"/>
      <c r="L146" s="117"/>
      <c r="M146" s="118">
        <f t="shared" si="14"/>
        <v>0</v>
      </c>
      <c r="N146" s="117"/>
      <c r="O146" s="117"/>
      <c r="P146" s="118">
        <f t="shared" si="12"/>
        <v>0</v>
      </c>
      <c r="Q146" s="117"/>
      <c r="R146" s="117"/>
      <c r="S146" s="118">
        <f t="shared" si="13"/>
        <v>0</v>
      </c>
    </row>
    <row r="147" spans="8:19" ht="14.25">
      <c r="H147" s="117"/>
      <c r="I147" s="117"/>
      <c r="J147" s="118">
        <f t="shared" si="11"/>
        <v>0</v>
      </c>
      <c r="K147" s="117"/>
      <c r="L147" s="117"/>
      <c r="M147" s="118">
        <f t="shared" si="14"/>
        <v>0</v>
      </c>
      <c r="N147" s="117"/>
      <c r="O147" s="117"/>
      <c r="P147" s="118">
        <f t="shared" si="12"/>
        <v>0</v>
      </c>
      <c r="Q147" s="117"/>
      <c r="R147" s="117"/>
      <c r="S147" s="118">
        <f t="shared" si="13"/>
        <v>0</v>
      </c>
    </row>
    <row r="148" spans="8:19" ht="14.25">
      <c r="H148" s="117"/>
      <c r="I148" s="117"/>
      <c r="J148" s="118">
        <f t="shared" si="11"/>
        <v>0</v>
      </c>
      <c r="K148" s="117"/>
      <c r="L148" s="117"/>
      <c r="M148" s="118">
        <f t="shared" si="14"/>
        <v>0</v>
      </c>
      <c r="N148" s="117"/>
      <c r="O148" s="117"/>
      <c r="P148" s="118">
        <f t="shared" si="12"/>
        <v>0</v>
      </c>
      <c r="Q148" s="117"/>
      <c r="R148" s="117"/>
      <c r="S148" s="118">
        <f t="shared" si="13"/>
        <v>0</v>
      </c>
    </row>
    <row r="149" spans="8:19" ht="14.25">
      <c r="H149" s="117"/>
      <c r="I149" s="117"/>
      <c r="J149" s="118">
        <f t="shared" si="11"/>
        <v>0</v>
      </c>
      <c r="K149" s="117"/>
      <c r="L149" s="117"/>
      <c r="M149" s="118">
        <f t="shared" si="14"/>
        <v>0</v>
      </c>
      <c r="N149" s="117"/>
      <c r="O149" s="117"/>
      <c r="P149" s="118">
        <f t="shared" si="12"/>
        <v>0</v>
      </c>
      <c r="Q149" s="117"/>
      <c r="R149" s="117"/>
      <c r="S149" s="118">
        <f t="shared" si="13"/>
        <v>0</v>
      </c>
    </row>
    <row r="150" spans="8:19" ht="14.25">
      <c r="H150" s="117"/>
      <c r="I150" s="117"/>
      <c r="J150" s="118">
        <f t="shared" si="11"/>
        <v>0</v>
      </c>
      <c r="K150" s="117"/>
      <c r="L150" s="117"/>
      <c r="M150" s="118">
        <f t="shared" si="14"/>
        <v>0</v>
      </c>
      <c r="N150" s="117"/>
      <c r="O150" s="117"/>
      <c r="P150" s="118">
        <f t="shared" si="12"/>
        <v>0</v>
      </c>
      <c r="Q150" s="117"/>
      <c r="R150" s="117"/>
      <c r="S150" s="118">
        <f t="shared" si="13"/>
        <v>0</v>
      </c>
    </row>
    <row r="151" spans="8:19" ht="14.25">
      <c r="H151" s="117"/>
      <c r="I151" s="117"/>
      <c r="J151" s="118">
        <f t="shared" si="11"/>
        <v>0</v>
      </c>
      <c r="K151" s="117"/>
      <c r="L151" s="117"/>
      <c r="M151" s="118">
        <f t="shared" si="14"/>
        <v>0</v>
      </c>
      <c r="N151" s="117"/>
      <c r="O151" s="117"/>
      <c r="P151" s="118">
        <f t="shared" si="12"/>
        <v>0</v>
      </c>
      <c r="Q151" s="117"/>
      <c r="R151" s="117"/>
      <c r="S151" s="118">
        <f t="shared" si="13"/>
        <v>0</v>
      </c>
    </row>
    <row r="152" spans="8:19" ht="14.25">
      <c r="H152" s="117"/>
      <c r="I152" s="117"/>
      <c r="J152" s="118">
        <f t="shared" si="11"/>
        <v>0</v>
      </c>
      <c r="K152" s="117"/>
      <c r="L152" s="117"/>
      <c r="M152" s="118">
        <f t="shared" si="14"/>
        <v>0</v>
      </c>
      <c r="N152" s="117"/>
      <c r="O152" s="117"/>
      <c r="P152" s="118">
        <f t="shared" si="12"/>
        <v>0</v>
      </c>
      <c r="Q152" s="117"/>
      <c r="R152" s="117"/>
      <c r="S152" s="118">
        <f t="shared" si="13"/>
        <v>0</v>
      </c>
    </row>
    <row r="153" spans="8:19" ht="14.25">
      <c r="H153" s="117"/>
      <c r="I153" s="117"/>
      <c r="J153" s="118">
        <f t="shared" si="11"/>
        <v>0</v>
      </c>
      <c r="K153" s="117"/>
      <c r="L153" s="117"/>
      <c r="M153" s="118">
        <f t="shared" si="14"/>
        <v>0</v>
      </c>
      <c r="N153" s="117"/>
      <c r="O153" s="117"/>
      <c r="P153" s="118">
        <f t="shared" si="12"/>
        <v>0</v>
      </c>
      <c r="Q153" s="117"/>
      <c r="R153" s="117"/>
      <c r="S153" s="118">
        <f t="shared" si="13"/>
        <v>0</v>
      </c>
    </row>
    <row r="154" spans="8:19" ht="14.25">
      <c r="H154" s="117"/>
      <c r="I154" s="117"/>
      <c r="J154" s="118">
        <f t="shared" si="11"/>
        <v>0</v>
      </c>
      <c r="K154" s="117"/>
      <c r="L154" s="117"/>
      <c r="M154" s="118">
        <f t="shared" si="14"/>
        <v>0</v>
      </c>
      <c r="N154" s="117"/>
      <c r="O154" s="117"/>
      <c r="P154" s="118">
        <f t="shared" si="12"/>
        <v>0</v>
      </c>
      <c r="Q154" s="117"/>
      <c r="R154" s="117"/>
      <c r="S154" s="118">
        <f t="shared" si="13"/>
        <v>0</v>
      </c>
    </row>
    <row r="155" spans="8:19" ht="14.25">
      <c r="H155" s="117"/>
      <c r="I155" s="117"/>
      <c r="J155" s="118">
        <f t="shared" si="11"/>
        <v>0</v>
      </c>
      <c r="K155" s="117"/>
      <c r="L155" s="117"/>
      <c r="M155" s="118">
        <f t="shared" si="14"/>
        <v>0</v>
      </c>
      <c r="N155" s="117"/>
      <c r="O155" s="117"/>
      <c r="P155" s="118">
        <f t="shared" si="12"/>
        <v>0</v>
      </c>
      <c r="Q155" s="117"/>
      <c r="R155" s="117"/>
      <c r="S155" s="118">
        <f t="shared" si="13"/>
        <v>0</v>
      </c>
    </row>
    <row r="156" spans="8:19" ht="14.25">
      <c r="H156" s="117"/>
      <c r="I156" s="117"/>
      <c r="J156" s="118">
        <f t="shared" si="11"/>
        <v>0</v>
      </c>
      <c r="K156" s="117"/>
      <c r="L156" s="117"/>
      <c r="M156" s="118">
        <f t="shared" si="14"/>
        <v>0</v>
      </c>
      <c r="N156" s="117"/>
      <c r="O156" s="117"/>
      <c r="P156" s="118">
        <f t="shared" si="12"/>
        <v>0</v>
      </c>
      <c r="Q156" s="117"/>
      <c r="R156" s="117"/>
      <c r="S156" s="118">
        <f t="shared" si="13"/>
        <v>0</v>
      </c>
    </row>
    <row r="157" spans="8:19" ht="14.25">
      <c r="H157" s="117"/>
      <c r="I157" s="117"/>
      <c r="J157" s="118">
        <f t="shared" si="11"/>
        <v>0</v>
      </c>
      <c r="K157" s="117"/>
      <c r="L157" s="117"/>
      <c r="M157" s="118">
        <f t="shared" si="14"/>
        <v>0</v>
      </c>
      <c r="N157" s="117"/>
      <c r="O157" s="117"/>
      <c r="P157" s="118">
        <f t="shared" si="12"/>
        <v>0</v>
      </c>
      <c r="Q157" s="117"/>
      <c r="R157" s="117"/>
      <c r="S157" s="118">
        <f t="shared" si="13"/>
        <v>0</v>
      </c>
    </row>
    <row r="158" spans="8:19" ht="14.25">
      <c r="H158" s="117"/>
      <c r="I158" s="117"/>
      <c r="J158" s="118">
        <f t="shared" si="11"/>
        <v>0</v>
      </c>
      <c r="K158" s="117"/>
      <c r="L158" s="117"/>
      <c r="M158" s="118">
        <f t="shared" si="14"/>
        <v>0</v>
      </c>
      <c r="N158" s="117"/>
      <c r="O158" s="117"/>
      <c r="P158" s="118">
        <f t="shared" si="12"/>
        <v>0</v>
      </c>
      <c r="Q158" s="117"/>
      <c r="R158" s="117"/>
      <c r="S158" s="118">
        <f t="shared" si="13"/>
        <v>0</v>
      </c>
    </row>
    <row r="159" spans="8:19" ht="14.25">
      <c r="H159" s="117"/>
      <c r="I159" s="117"/>
      <c r="J159" s="118">
        <f t="shared" si="11"/>
        <v>0</v>
      </c>
      <c r="K159" s="117"/>
      <c r="L159" s="117"/>
      <c r="M159" s="118">
        <f t="shared" si="14"/>
        <v>0</v>
      </c>
      <c r="N159" s="117"/>
      <c r="O159" s="117"/>
      <c r="P159" s="118">
        <f t="shared" si="12"/>
        <v>0</v>
      </c>
      <c r="Q159" s="117"/>
      <c r="R159" s="117"/>
      <c r="S159" s="118">
        <f t="shared" si="13"/>
        <v>0</v>
      </c>
    </row>
    <row r="160" spans="8:19" ht="14.25">
      <c r="H160" s="117"/>
      <c r="I160" s="117"/>
      <c r="J160" s="118">
        <f t="shared" si="11"/>
        <v>0</v>
      </c>
      <c r="K160" s="117"/>
      <c r="L160" s="117"/>
      <c r="M160" s="118">
        <f t="shared" si="14"/>
        <v>0</v>
      </c>
      <c r="N160" s="117"/>
      <c r="O160" s="117"/>
      <c r="P160" s="118">
        <f t="shared" si="12"/>
        <v>0</v>
      </c>
      <c r="Q160" s="117"/>
      <c r="R160" s="117"/>
      <c r="S160" s="118">
        <f t="shared" si="13"/>
        <v>0</v>
      </c>
    </row>
    <row r="161" spans="8:19" ht="14.25">
      <c r="H161" s="117"/>
      <c r="I161" s="117"/>
      <c r="J161" s="118">
        <f t="shared" si="11"/>
        <v>0</v>
      </c>
      <c r="K161" s="117"/>
      <c r="L161" s="117"/>
      <c r="M161" s="118">
        <f t="shared" si="14"/>
        <v>0</v>
      </c>
      <c r="N161" s="117"/>
      <c r="O161" s="117"/>
      <c r="P161" s="118">
        <f t="shared" si="12"/>
        <v>0</v>
      </c>
      <c r="Q161" s="117"/>
      <c r="R161" s="117"/>
      <c r="S161" s="118">
        <f t="shared" si="13"/>
        <v>0</v>
      </c>
    </row>
    <row r="162" spans="8:19" ht="14.25">
      <c r="H162" s="117"/>
      <c r="I162" s="117"/>
      <c r="J162" s="118">
        <f t="shared" si="11"/>
        <v>0</v>
      </c>
      <c r="K162" s="117"/>
      <c r="L162" s="117"/>
      <c r="M162" s="118">
        <f t="shared" si="14"/>
        <v>0</v>
      </c>
      <c r="N162" s="117"/>
      <c r="O162" s="117"/>
      <c r="P162" s="118">
        <f t="shared" si="12"/>
        <v>0</v>
      </c>
      <c r="Q162" s="117"/>
      <c r="R162" s="117"/>
      <c r="S162" s="118">
        <f t="shared" si="13"/>
        <v>0</v>
      </c>
    </row>
    <row r="163" spans="8:19" ht="14.25">
      <c r="H163" s="117"/>
      <c r="I163" s="117"/>
      <c r="J163" s="118">
        <f t="shared" si="11"/>
        <v>0</v>
      </c>
      <c r="K163" s="117"/>
      <c r="L163" s="117"/>
      <c r="M163" s="118">
        <f t="shared" si="14"/>
        <v>0</v>
      </c>
      <c r="N163" s="117"/>
      <c r="O163" s="117"/>
      <c r="P163" s="118">
        <f t="shared" si="12"/>
        <v>0</v>
      </c>
      <c r="Q163" s="117"/>
      <c r="R163" s="117"/>
      <c r="S163" s="118">
        <f t="shared" si="13"/>
        <v>0</v>
      </c>
    </row>
    <row r="164" spans="8:19" ht="14.25">
      <c r="H164" s="117"/>
      <c r="I164" s="117"/>
      <c r="J164" s="118">
        <f t="shared" si="11"/>
        <v>0</v>
      </c>
      <c r="K164" s="117"/>
      <c r="L164" s="117"/>
      <c r="M164" s="118">
        <f t="shared" si="14"/>
        <v>0</v>
      </c>
      <c r="N164" s="117"/>
      <c r="O164" s="117"/>
      <c r="P164" s="118">
        <f t="shared" si="12"/>
        <v>0</v>
      </c>
      <c r="Q164" s="117"/>
      <c r="R164" s="117"/>
      <c r="S164" s="118">
        <f t="shared" si="13"/>
        <v>0</v>
      </c>
    </row>
    <row r="165" spans="8:19" ht="14.25">
      <c r="H165" s="117"/>
      <c r="I165" s="117"/>
      <c r="J165" s="118">
        <f t="shared" si="11"/>
        <v>0</v>
      </c>
      <c r="K165" s="117"/>
      <c r="L165" s="117"/>
      <c r="M165" s="118">
        <f t="shared" si="14"/>
        <v>0</v>
      </c>
      <c r="N165" s="117"/>
      <c r="O165" s="117"/>
      <c r="P165" s="118">
        <f t="shared" si="12"/>
        <v>0</v>
      </c>
      <c r="Q165" s="117"/>
      <c r="R165" s="117"/>
      <c r="S165" s="118">
        <f t="shared" si="13"/>
        <v>0</v>
      </c>
    </row>
    <row r="166" spans="8:19" ht="14.25">
      <c r="H166" s="117"/>
      <c r="I166" s="117"/>
      <c r="J166" s="118">
        <f t="shared" si="11"/>
        <v>0</v>
      </c>
      <c r="K166" s="117"/>
      <c r="L166" s="117"/>
      <c r="M166" s="118">
        <f t="shared" si="14"/>
        <v>0</v>
      </c>
      <c r="N166" s="117"/>
      <c r="O166" s="117"/>
      <c r="P166" s="118">
        <f t="shared" si="12"/>
        <v>0</v>
      </c>
      <c r="Q166" s="117"/>
      <c r="R166" s="117"/>
      <c r="S166" s="118">
        <f t="shared" si="13"/>
        <v>0</v>
      </c>
    </row>
    <row r="167" spans="8:19" ht="14.25">
      <c r="H167" s="117"/>
      <c r="I167" s="117"/>
      <c r="J167" s="118">
        <f t="shared" si="11"/>
        <v>0</v>
      </c>
      <c r="K167" s="117"/>
      <c r="L167" s="117"/>
      <c r="M167" s="118">
        <f t="shared" si="14"/>
        <v>0</v>
      </c>
      <c r="N167" s="117"/>
      <c r="O167" s="117"/>
      <c r="P167" s="118">
        <f t="shared" si="12"/>
        <v>0</v>
      </c>
      <c r="Q167" s="117"/>
      <c r="R167" s="117"/>
      <c r="S167" s="118">
        <f t="shared" si="13"/>
        <v>0</v>
      </c>
    </row>
    <row r="168" spans="8:19" ht="14.25">
      <c r="H168" s="117"/>
      <c r="I168" s="117"/>
      <c r="J168" s="118">
        <f t="shared" si="11"/>
        <v>0</v>
      </c>
      <c r="K168" s="117"/>
      <c r="L168" s="117"/>
      <c r="M168" s="118">
        <f t="shared" si="14"/>
        <v>0</v>
      </c>
      <c r="N168" s="117"/>
      <c r="O168" s="117"/>
      <c r="P168" s="118">
        <f t="shared" si="12"/>
        <v>0</v>
      </c>
      <c r="Q168" s="117"/>
      <c r="R168" s="117"/>
      <c r="S168" s="118">
        <f t="shared" si="13"/>
        <v>0</v>
      </c>
    </row>
    <row r="169" spans="8:19" ht="14.25">
      <c r="H169" s="117"/>
      <c r="I169" s="117"/>
      <c r="J169" s="118">
        <f t="shared" si="11"/>
        <v>0</v>
      </c>
      <c r="K169" s="117"/>
      <c r="L169" s="117"/>
      <c r="M169" s="118">
        <f t="shared" si="14"/>
        <v>0</v>
      </c>
      <c r="N169" s="117"/>
      <c r="O169" s="117"/>
      <c r="P169" s="118">
        <f t="shared" si="12"/>
        <v>0</v>
      </c>
      <c r="Q169" s="117"/>
      <c r="R169" s="117"/>
      <c r="S169" s="118">
        <f t="shared" si="13"/>
        <v>0</v>
      </c>
    </row>
    <row r="170" spans="8:19" ht="14.25">
      <c r="H170" s="117"/>
      <c r="I170" s="117"/>
      <c r="J170" s="118">
        <f t="shared" si="11"/>
        <v>0</v>
      </c>
      <c r="K170" s="117"/>
      <c r="L170" s="117"/>
      <c r="M170" s="118">
        <f t="shared" si="14"/>
        <v>0</v>
      </c>
      <c r="N170" s="117"/>
      <c r="O170" s="117"/>
      <c r="P170" s="118">
        <f t="shared" si="12"/>
        <v>0</v>
      </c>
      <c r="Q170" s="117"/>
      <c r="R170" s="117"/>
      <c r="S170" s="118">
        <f t="shared" si="13"/>
        <v>0</v>
      </c>
    </row>
    <row r="171" spans="8:19" ht="14.25">
      <c r="H171" s="117"/>
      <c r="I171" s="117"/>
      <c r="J171" s="118">
        <f t="shared" si="11"/>
        <v>0</v>
      </c>
      <c r="K171" s="117"/>
      <c r="L171" s="117"/>
      <c r="M171" s="118">
        <f t="shared" si="14"/>
        <v>0</v>
      </c>
      <c r="N171" s="117"/>
      <c r="O171" s="117"/>
      <c r="P171" s="118">
        <f t="shared" si="12"/>
        <v>0</v>
      </c>
      <c r="Q171" s="117"/>
      <c r="R171" s="117"/>
      <c r="S171" s="118">
        <f t="shared" si="13"/>
        <v>0</v>
      </c>
    </row>
    <row r="172" spans="8:19" ht="14.25">
      <c r="H172" s="117"/>
      <c r="I172" s="117"/>
      <c r="J172" s="118">
        <f t="shared" si="11"/>
        <v>0</v>
      </c>
      <c r="K172" s="117"/>
      <c r="L172" s="117"/>
      <c r="M172" s="118">
        <f t="shared" si="14"/>
        <v>0</v>
      </c>
      <c r="N172" s="117"/>
      <c r="O172" s="117"/>
      <c r="P172" s="118">
        <f t="shared" si="12"/>
        <v>0</v>
      </c>
      <c r="Q172" s="117"/>
      <c r="R172" s="117"/>
      <c r="S172" s="118">
        <f t="shared" si="13"/>
        <v>0</v>
      </c>
    </row>
    <row r="173" spans="8:19" ht="14.25">
      <c r="H173" s="117"/>
      <c r="I173" s="117"/>
      <c r="J173" s="118">
        <f t="shared" si="11"/>
        <v>0</v>
      </c>
      <c r="K173" s="117"/>
      <c r="L173" s="117"/>
      <c r="M173" s="118">
        <f t="shared" si="14"/>
        <v>0</v>
      </c>
      <c r="N173" s="117"/>
      <c r="O173" s="117"/>
      <c r="P173" s="118">
        <f t="shared" si="12"/>
        <v>0</v>
      </c>
      <c r="Q173" s="117"/>
      <c r="R173" s="117"/>
      <c r="S173" s="118">
        <f t="shared" si="13"/>
        <v>0</v>
      </c>
    </row>
    <row r="174" spans="8:19" ht="14.25">
      <c r="H174" s="117"/>
      <c r="I174" s="117"/>
      <c r="J174" s="118">
        <f t="shared" si="11"/>
        <v>0</v>
      </c>
      <c r="K174" s="117"/>
      <c r="L174" s="117"/>
      <c r="M174" s="118">
        <f t="shared" si="14"/>
        <v>0</v>
      </c>
      <c r="N174" s="117"/>
      <c r="O174" s="117"/>
      <c r="P174" s="118">
        <f t="shared" si="12"/>
        <v>0</v>
      </c>
      <c r="Q174" s="117"/>
      <c r="R174" s="117"/>
      <c r="S174" s="118">
        <f t="shared" si="13"/>
        <v>0</v>
      </c>
    </row>
    <row r="175" spans="8:19" ht="14.25">
      <c r="H175" s="117"/>
      <c r="I175" s="117"/>
      <c r="J175" s="118">
        <f t="shared" si="11"/>
        <v>0</v>
      </c>
      <c r="K175" s="117"/>
      <c r="L175" s="117"/>
      <c r="M175" s="118">
        <f t="shared" si="14"/>
        <v>0</v>
      </c>
      <c r="N175" s="117"/>
      <c r="O175" s="117"/>
      <c r="P175" s="118">
        <f t="shared" si="12"/>
        <v>0</v>
      </c>
      <c r="Q175" s="117"/>
      <c r="R175" s="117"/>
      <c r="S175" s="118">
        <f t="shared" si="13"/>
        <v>0</v>
      </c>
    </row>
    <row r="176" spans="8:19" ht="14.25">
      <c r="H176" s="117"/>
      <c r="I176" s="117"/>
      <c r="J176" s="118">
        <f t="shared" si="11"/>
        <v>0</v>
      </c>
      <c r="K176" s="117"/>
      <c r="L176" s="117"/>
      <c r="M176" s="118">
        <f t="shared" si="14"/>
        <v>0</v>
      </c>
      <c r="N176" s="117"/>
      <c r="O176" s="117"/>
      <c r="P176" s="118">
        <f t="shared" si="12"/>
        <v>0</v>
      </c>
      <c r="Q176" s="117"/>
      <c r="R176" s="117"/>
      <c r="S176" s="118">
        <f t="shared" si="13"/>
        <v>0</v>
      </c>
    </row>
    <row r="177" spans="8:19" ht="14.25">
      <c r="H177" s="117"/>
      <c r="I177" s="117"/>
      <c r="J177" s="118">
        <f t="shared" si="11"/>
        <v>0</v>
      </c>
      <c r="K177" s="117"/>
      <c r="L177" s="117"/>
      <c r="M177" s="118">
        <f t="shared" si="14"/>
        <v>0</v>
      </c>
      <c r="N177" s="117"/>
      <c r="O177" s="117"/>
      <c r="P177" s="118">
        <f t="shared" si="12"/>
        <v>0</v>
      </c>
      <c r="Q177" s="117"/>
      <c r="R177" s="117"/>
      <c r="S177" s="118">
        <f t="shared" si="13"/>
        <v>0</v>
      </c>
    </row>
    <row r="178" spans="8:19" ht="14.25">
      <c r="H178" s="117"/>
      <c r="I178" s="117"/>
      <c r="J178" s="118">
        <f t="shared" si="11"/>
        <v>0</v>
      </c>
      <c r="K178" s="117"/>
      <c r="L178" s="117"/>
      <c r="M178" s="118">
        <f t="shared" si="14"/>
        <v>0</v>
      </c>
      <c r="N178" s="117"/>
      <c r="O178" s="117"/>
      <c r="P178" s="118">
        <f t="shared" si="12"/>
        <v>0</v>
      </c>
      <c r="Q178" s="117"/>
      <c r="R178" s="117"/>
      <c r="S178" s="118">
        <f t="shared" si="13"/>
        <v>0</v>
      </c>
    </row>
    <row r="179" spans="8:19" ht="14.25">
      <c r="H179" s="117"/>
      <c r="I179" s="117"/>
      <c r="J179" s="118">
        <f t="shared" si="11"/>
        <v>0</v>
      </c>
      <c r="K179" s="117"/>
      <c r="L179" s="117"/>
      <c r="M179" s="118">
        <f t="shared" si="14"/>
        <v>0</v>
      </c>
      <c r="N179" s="117"/>
      <c r="O179" s="117"/>
      <c r="P179" s="118">
        <f t="shared" si="12"/>
        <v>0</v>
      </c>
      <c r="Q179" s="117"/>
      <c r="R179" s="117"/>
      <c r="S179" s="118">
        <f t="shared" si="13"/>
        <v>0</v>
      </c>
    </row>
    <row r="180" spans="8:19" ht="14.25">
      <c r="H180" s="117"/>
      <c r="I180" s="117"/>
      <c r="J180" s="118">
        <f t="shared" si="11"/>
        <v>0</v>
      </c>
      <c r="K180" s="117"/>
      <c r="L180" s="117"/>
      <c r="M180" s="118">
        <f t="shared" si="14"/>
        <v>0</v>
      </c>
      <c r="N180" s="117"/>
      <c r="O180" s="117"/>
      <c r="P180" s="118">
        <f t="shared" si="12"/>
        <v>0</v>
      </c>
      <c r="Q180" s="117"/>
      <c r="R180" s="117"/>
      <c r="S180" s="118">
        <f t="shared" si="13"/>
        <v>0</v>
      </c>
    </row>
    <row r="181" spans="8:19" ht="14.25">
      <c r="H181" s="117"/>
      <c r="I181" s="117"/>
      <c r="J181" s="118">
        <f t="shared" si="11"/>
        <v>0</v>
      </c>
      <c r="K181" s="117"/>
      <c r="L181" s="117"/>
      <c r="M181" s="118">
        <f t="shared" si="14"/>
        <v>0</v>
      </c>
      <c r="N181" s="117"/>
      <c r="O181" s="117"/>
      <c r="P181" s="118">
        <f t="shared" si="12"/>
        <v>0</v>
      </c>
      <c r="Q181" s="117"/>
      <c r="R181" s="117"/>
      <c r="S181" s="118">
        <f t="shared" si="13"/>
        <v>0</v>
      </c>
    </row>
    <row r="182" spans="8:19" ht="14.25">
      <c r="H182" s="117"/>
      <c r="I182" s="117"/>
      <c r="J182" s="118">
        <f t="shared" si="11"/>
        <v>0</v>
      </c>
      <c r="K182" s="117"/>
      <c r="L182" s="117"/>
      <c r="M182" s="118">
        <f t="shared" si="14"/>
        <v>0</v>
      </c>
      <c r="N182" s="117"/>
      <c r="O182" s="117"/>
      <c r="P182" s="118">
        <f t="shared" si="12"/>
        <v>0</v>
      </c>
      <c r="Q182" s="117"/>
      <c r="R182" s="117"/>
      <c r="S182" s="118">
        <f t="shared" si="13"/>
        <v>0</v>
      </c>
    </row>
    <row r="183" spans="8:19" ht="14.25">
      <c r="H183" s="117"/>
      <c r="I183" s="117"/>
      <c r="J183" s="118">
        <f t="shared" si="11"/>
        <v>0</v>
      </c>
      <c r="K183" s="117"/>
      <c r="L183" s="117"/>
      <c r="M183" s="118">
        <f t="shared" si="14"/>
        <v>0</v>
      </c>
      <c r="N183" s="117"/>
      <c r="O183" s="117"/>
      <c r="P183" s="118">
        <f t="shared" si="12"/>
        <v>0</v>
      </c>
      <c r="Q183" s="117"/>
      <c r="R183" s="117"/>
      <c r="S183" s="118">
        <f t="shared" si="13"/>
        <v>0</v>
      </c>
    </row>
    <row r="184" spans="8:19" ht="14.25">
      <c r="H184" s="117"/>
      <c r="I184" s="117"/>
      <c r="J184" s="118">
        <f t="shared" si="11"/>
        <v>0</v>
      </c>
      <c r="K184" s="117"/>
      <c r="L184" s="117"/>
      <c r="M184" s="118">
        <f t="shared" si="14"/>
        <v>0</v>
      </c>
      <c r="N184" s="117"/>
      <c r="O184" s="117"/>
      <c r="P184" s="118">
        <f t="shared" si="12"/>
        <v>0</v>
      </c>
      <c r="Q184" s="117"/>
      <c r="R184" s="117"/>
      <c r="S184" s="118">
        <f t="shared" si="13"/>
        <v>0</v>
      </c>
    </row>
    <row r="185" spans="8:19" ht="14.25">
      <c r="H185" s="117"/>
      <c r="I185" s="117"/>
      <c r="J185" s="118">
        <f t="shared" si="11"/>
        <v>0</v>
      </c>
      <c r="K185" s="117"/>
      <c r="L185" s="117"/>
      <c r="M185" s="118">
        <f t="shared" si="14"/>
        <v>0</v>
      </c>
      <c r="N185" s="117"/>
      <c r="O185" s="117"/>
      <c r="P185" s="118">
        <f t="shared" si="12"/>
        <v>0</v>
      </c>
      <c r="Q185" s="117"/>
      <c r="R185" s="117"/>
      <c r="S185" s="118">
        <f t="shared" si="13"/>
        <v>0</v>
      </c>
    </row>
    <row r="186" spans="8:19" ht="14.25">
      <c r="H186" s="117"/>
      <c r="I186" s="117"/>
      <c r="J186" s="118">
        <f t="shared" si="11"/>
        <v>0</v>
      </c>
      <c r="K186" s="117"/>
      <c r="L186" s="117"/>
      <c r="M186" s="118">
        <f t="shared" si="14"/>
        <v>0</v>
      </c>
      <c r="N186" s="117"/>
      <c r="O186" s="117"/>
      <c r="P186" s="118">
        <f t="shared" si="12"/>
        <v>0</v>
      </c>
      <c r="Q186" s="117"/>
      <c r="R186" s="117"/>
      <c r="S186" s="118">
        <f t="shared" si="13"/>
        <v>0</v>
      </c>
    </row>
    <row r="187" spans="8:19" ht="14.25">
      <c r="H187" s="117"/>
      <c r="I187" s="117"/>
      <c r="J187" s="118">
        <f t="shared" si="11"/>
        <v>0</v>
      </c>
      <c r="K187" s="117"/>
      <c r="L187" s="117"/>
      <c r="M187" s="118">
        <f t="shared" si="14"/>
        <v>0</v>
      </c>
      <c r="N187" s="117"/>
      <c r="O187" s="117"/>
      <c r="P187" s="118">
        <f t="shared" si="12"/>
        <v>0</v>
      </c>
      <c r="Q187" s="117"/>
      <c r="R187" s="117"/>
      <c r="S187" s="118">
        <f t="shared" si="13"/>
        <v>0</v>
      </c>
    </row>
    <row r="188" spans="8:19" ht="14.25">
      <c r="H188" s="117"/>
      <c r="I188" s="117"/>
      <c r="J188" s="118">
        <f t="shared" si="11"/>
        <v>0</v>
      </c>
      <c r="K188" s="117"/>
      <c r="L188" s="117"/>
      <c r="M188" s="118">
        <f t="shared" si="14"/>
        <v>0</v>
      </c>
      <c r="N188" s="117"/>
      <c r="O188" s="117"/>
      <c r="P188" s="118">
        <f t="shared" si="12"/>
        <v>0</v>
      </c>
      <c r="Q188" s="117"/>
      <c r="R188" s="117"/>
      <c r="S188" s="118">
        <f t="shared" si="13"/>
        <v>0</v>
      </c>
    </row>
    <row r="189" spans="8:19" ht="14.25">
      <c r="H189" s="117"/>
      <c r="I189" s="117"/>
      <c r="J189" s="118">
        <f t="shared" si="11"/>
        <v>0</v>
      </c>
      <c r="K189" s="117"/>
      <c r="L189" s="117"/>
      <c r="M189" s="118">
        <f t="shared" si="14"/>
        <v>0</v>
      </c>
      <c r="N189" s="117"/>
      <c r="O189" s="117"/>
      <c r="P189" s="118">
        <f t="shared" si="12"/>
        <v>0</v>
      </c>
      <c r="Q189" s="117"/>
      <c r="R189" s="117"/>
      <c r="S189" s="118">
        <f t="shared" si="13"/>
        <v>0</v>
      </c>
    </row>
    <row r="190" spans="8:19" ht="14.25">
      <c r="H190" s="117"/>
      <c r="I190" s="117"/>
      <c r="J190" s="118">
        <f t="shared" si="11"/>
        <v>0</v>
      </c>
      <c r="K190" s="117"/>
      <c r="L190" s="117"/>
      <c r="M190" s="118">
        <f t="shared" si="14"/>
        <v>0</v>
      </c>
      <c r="N190" s="117"/>
      <c r="O190" s="117"/>
      <c r="P190" s="118">
        <f t="shared" si="12"/>
        <v>0</v>
      </c>
      <c r="Q190" s="117"/>
      <c r="R190" s="117"/>
      <c r="S190" s="118">
        <f t="shared" si="13"/>
        <v>0</v>
      </c>
    </row>
    <row r="191" spans="8:19" ht="14.25">
      <c r="H191" s="117"/>
      <c r="I191" s="117"/>
      <c r="J191" s="118">
        <f t="shared" si="11"/>
        <v>0</v>
      </c>
      <c r="K191" s="117"/>
      <c r="L191" s="117"/>
      <c r="M191" s="118">
        <f t="shared" si="14"/>
        <v>0</v>
      </c>
      <c r="N191" s="117"/>
      <c r="O191" s="117"/>
      <c r="P191" s="118">
        <f t="shared" si="12"/>
        <v>0</v>
      </c>
      <c r="Q191" s="117"/>
      <c r="R191" s="117"/>
      <c r="S191" s="118">
        <f t="shared" si="13"/>
        <v>0</v>
      </c>
    </row>
    <row r="192" spans="8:19" ht="14.25">
      <c r="H192" s="117"/>
      <c r="I192" s="117"/>
      <c r="J192" s="118">
        <f t="shared" si="11"/>
        <v>0</v>
      </c>
      <c r="K192" s="117"/>
      <c r="L192" s="117"/>
      <c r="M192" s="118">
        <f t="shared" si="14"/>
        <v>0</v>
      </c>
      <c r="N192" s="117"/>
      <c r="O192" s="117"/>
      <c r="P192" s="118">
        <f t="shared" si="12"/>
        <v>0</v>
      </c>
      <c r="Q192" s="117"/>
      <c r="R192" s="117"/>
      <c r="S192" s="118">
        <f t="shared" si="13"/>
        <v>0</v>
      </c>
    </row>
    <row r="193" spans="8:19" ht="14.25">
      <c r="H193" s="117"/>
      <c r="I193" s="117"/>
      <c r="J193" s="118">
        <f t="shared" si="11"/>
        <v>0</v>
      </c>
      <c r="K193" s="117"/>
      <c r="L193" s="117"/>
      <c r="M193" s="118">
        <f t="shared" si="14"/>
        <v>0</v>
      </c>
      <c r="N193" s="117"/>
      <c r="O193" s="117"/>
      <c r="P193" s="118">
        <f t="shared" si="12"/>
        <v>0</v>
      </c>
      <c r="Q193" s="117"/>
      <c r="R193" s="117"/>
      <c r="S193" s="118">
        <f t="shared" si="13"/>
        <v>0</v>
      </c>
    </row>
    <row r="194" spans="8:19" ht="14.25">
      <c r="H194" s="117"/>
      <c r="I194" s="117"/>
      <c r="J194" s="118">
        <f t="shared" si="11"/>
        <v>0</v>
      </c>
      <c r="K194" s="117"/>
      <c r="L194" s="117"/>
      <c r="M194" s="118">
        <f t="shared" si="14"/>
        <v>0</v>
      </c>
      <c r="N194" s="117"/>
      <c r="O194" s="117"/>
      <c r="P194" s="118">
        <f t="shared" si="12"/>
        <v>0</v>
      </c>
      <c r="Q194" s="117"/>
      <c r="R194" s="117"/>
      <c r="S194" s="118">
        <f t="shared" si="13"/>
        <v>0</v>
      </c>
    </row>
    <row r="195" spans="8:19" ht="14.25">
      <c r="H195" s="117"/>
      <c r="I195" s="117"/>
      <c r="J195" s="118">
        <f t="shared" si="11"/>
        <v>0</v>
      </c>
      <c r="K195" s="117"/>
      <c r="L195" s="117"/>
      <c r="M195" s="118">
        <f t="shared" si="14"/>
        <v>0</v>
      </c>
      <c r="N195" s="117"/>
      <c r="O195" s="117"/>
      <c r="P195" s="118">
        <f t="shared" si="12"/>
        <v>0</v>
      </c>
      <c r="Q195" s="117"/>
      <c r="R195" s="117"/>
      <c r="S195" s="118">
        <f t="shared" si="13"/>
        <v>0</v>
      </c>
    </row>
    <row r="196" spans="8:19" ht="14.25">
      <c r="H196" s="117"/>
      <c r="I196" s="117"/>
      <c r="J196" s="118">
        <f t="shared" si="11"/>
        <v>0</v>
      </c>
      <c r="K196" s="117"/>
      <c r="L196" s="117"/>
      <c r="M196" s="118">
        <f t="shared" si="14"/>
        <v>0</v>
      </c>
      <c r="N196" s="117"/>
      <c r="O196" s="117"/>
      <c r="P196" s="118">
        <f t="shared" si="12"/>
        <v>0</v>
      </c>
      <c r="Q196" s="117"/>
      <c r="R196" s="117"/>
      <c r="S196" s="118">
        <f t="shared" si="13"/>
        <v>0</v>
      </c>
    </row>
    <row r="197" spans="8:19" ht="14.25">
      <c r="H197" s="117"/>
      <c r="I197" s="117"/>
      <c r="J197" s="118">
        <f t="shared" ref="J197:J260" si="15">H197*I197</f>
        <v>0</v>
      </c>
      <c r="K197" s="117"/>
      <c r="L197" s="117"/>
      <c r="M197" s="118">
        <f t="shared" si="14"/>
        <v>0</v>
      </c>
      <c r="N197" s="117"/>
      <c r="O197" s="117"/>
      <c r="P197" s="118">
        <f t="shared" si="12"/>
        <v>0</v>
      </c>
      <c r="Q197" s="117"/>
      <c r="R197" s="117"/>
      <c r="S197" s="118">
        <f t="shared" si="13"/>
        <v>0</v>
      </c>
    </row>
    <row r="198" spans="8:19" ht="14.25">
      <c r="H198" s="117"/>
      <c r="I198" s="117"/>
      <c r="J198" s="118">
        <f t="shared" si="15"/>
        <v>0</v>
      </c>
      <c r="K198" s="117"/>
      <c r="L198" s="117"/>
      <c r="M198" s="118">
        <f t="shared" si="14"/>
        <v>0</v>
      </c>
      <c r="N198" s="117"/>
      <c r="O198" s="117"/>
      <c r="P198" s="118">
        <f t="shared" si="12"/>
        <v>0</v>
      </c>
      <c r="Q198" s="117"/>
      <c r="R198" s="117"/>
      <c r="S198" s="118">
        <f t="shared" si="13"/>
        <v>0</v>
      </c>
    </row>
    <row r="199" spans="8:19" ht="14.25">
      <c r="H199" s="117"/>
      <c r="I199" s="117"/>
      <c r="J199" s="118">
        <f t="shared" si="15"/>
        <v>0</v>
      </c>
      <c r="K199" s="117"/>
      <c r="L199" s="117"/>
      <c r="M199" s="118">
        <f t="shared" si="14"/>
        <v>0</v>
      </c>
      <c r="N199" s="117"/>
      <c r="O199" s="117"/>
      <c r="P199" s="118">
        <f t="shared" si="12"/>
        <v>0</v>
      </c>
      <c r="Q199" s="117"/>
      <c r="R199" s="117"/>
      <c r="S199" s="118">
        <f t="shared" si="13"/>
        <v>0</v>
      </c>
    </row>
    <row r="200" spans="8:19" ht="14.25">
      <c r="H200" s="117"/>
      <c r="I200" s="117"/>
      <c r="J200" s="118">
        <f t="shared" si="15"/>
        <v>0</v>
      </c>
      <c r="K200" s="117"/>
      <c r="L200" s="117"/>
      <c r="M200" s="118">
        <f t="shared" si="14"/>
        <v>0</v>
      </c>
      <c r="N200" s="117"/>
      <c r="O200" s="117"/>
      <c r="P200" s="118">
        <f t="shared" si="12"/>
        <v>0</v>
      </c>
      <c r="Q200" s="117"/>
      <c r="R200" s="117"/>
      <c r="S200" s="118">
        <f t="shared" si="13"/>
        <v>0</v>
      </c>
    </row>
    <row r="201" spans="8:19" ht="14.25">
      <c r="H201" s="117"/>
      <c r="I201" s="117"/>
      <c r="J201" s="118">
        <f t="shared" si="15"/>
        <v>0</v>
      </c>
      <c r="K201" s="117"/>
      <c r="L201" s="117"/>
      <c r="M201" s="118">
        <f t="shared" si="14"/>
        <v>0</v>
      </c>
      <c r="N201" s="117"/>
      <c r="O201" s="117"/>
      <c r="P201" s="118">
        <f t="shared" si="12"/>
        <v>0</v>
      </c>
      <c r="Q201" s="117"/>
      <c r="R201" s="117"/>
      <c r="S201" s="118">
        <f t="shared" si="13"/>
        <v>0</v>
      </c>
    </row>
    <row r="202" spans="8:19" ht="14.25">
      <c r="H202" s="117"/>
      <c r="I202" s="117"/>
      <c r="J202" s="118">
        <f t="shared" si="15"/>
        <v>0</v>
      </c>
      <c r="K202" s="117"/>
      <c r="L202" s="117"/>
      <c r="M202" s="118">
        <f t="shared" si="14"/>
        <v>0</v>
      </c>
      <c r="N202" s="117"/>
      <c r="O202" s="117"/>
      <c r="P202" s="118">
        <f t="shared" si="12"/>
        <v>0</v>
      </c>
      <c r="Q202" s="117"/>
      <c r="R202" s="117"/>
      <c r="S202" s="118">
        <f t="shared" si="13"/>
        <v>0</v>
      </c>
    </row>
    <row r="203" spans="8:19" ht="14.25">
      <c r="H203" s="117"/>
      <c r="I203" s="117"/>
      <c r="J203" s="118">
        <f t="shared" si="15"/>
        <v>0</v>
      </c>
      <c r="K203" s="117"/>
      <c r="L203" s="117"/>
      <c r="M203" s="118">
        <f t="shared" si="14"/>
        <v>0</v>
      </c>
      <c r="N203" s="117"/>
      <c r="O203" s="117"/>
      <c r="P203" s="118">
        <f t="shared" si="12"/>
        <v>0</v>
      </c>
      <c r="Q203" s="117"/>
      <c r="R203" s="117"/>
      <c r="S203" s="118">
        <f t="shared" si="13"/>
        <v>0</v>
      </c>
    </row>
    <row r="204" spans="8:19" ht="14.25">
      <c r="H204" s="117"/>
      <c r="I204" s="117"/>
      <c r="J204" s="118">
        <f t="shared" si="15"/>
        <v>0</v>
      </c>
      <c r="K204" s="117"/>
      <c r="L204" s="117"/>
      <c r="M204" s="118">
        <f t="shared" si="14"/>
        <v>0</v>
      </c>
      <c r="N204" s="117"/>
      <c r="O204" s="117"/>
      <c r="P204" s="118">
        <f t="shared" si="12"/>
        <v>0</v>
      </c>
      <c r="Q204" s="117"/>
      <c r="R204" s="117"/>
      <c r="S204" s="118">
        <f t="shared" si="13"/>
        <v>0</v>
      </c>
    </row>
    <row r="205" spans="8:19" ht="14.25">
      <c r="H205" s="117"/>
      <c r="I205" s="117"/>
      <c r="J205" s="118">
        <f t="shared" si="15"/>
        <v>0</v>
      </c>
      <c r="K205" s="117"/>
      <c r="L205" s="117"/>
      <c r="M205" s="118">
        <f t="shared" si="14"/>
        <v>0</v>
      </c>
      <c r="N205" s="117"/>
      <c r="O205" s="117"/>
      <c r="P205" s="118">
        <f t="shared" ref="P205:P268" si="16">N205*O205</f>
        <v>0</v>
      </c>
      <c r="Q205" s="117"/>
      <c r="R205" s="117"/>
      <c r="S205" s="118">
        <f t="shared" si="13"/>
        <v>0</v>
      </c>
    </row>
    <row r="206" spans="8:19" ht="14.25">
      <c r="H206" s="117"/>
      <c r="I206" s="117"/>
      <c r="J206" s="118">
        <f t="shared" si="15"/>
        <v>0</v>
      </c>
      <c r="K206" s="117"/>
      <c r="L206" s="117"/>
      <c r="M206" s="118">
        <f t="shared" si="14"/>
        <v>0</v>
      </c>
      <c r="N206" s="117"/>
      <c r="O206" s="117"/>
      <c r="P206" s="118">
        <f t="shared" si="16"/>
        <v>0</v>
      </c>
      <c r="Q206" s="117"/>
      <c r="R206" s="117"/>
      <c r="S206" s="118">
        <f t="shared" ref="S206:S269" si="17">Q206*R206</f>
        <v>0</v>
      </c>
    </row>
    <row r="207" spans="8:19" ht="14.25">
      <c r="H207" s="117"/>
      <c r="I207" s="117"/>
      <c r="J207" s="118">
        <f t="shared" si="15"/>
        <v>0</v>
      </c>
      <c r="K207" s="117"/>
      <c r="L207" s="117"/>
      <c r="M207" s="118">
        <f t="shared" ref="M207:M270" si="18">K207*L207</f>
        <v>0</v>
      </c>
      <c r="N207" s="117"/>
      <c r="O207" s="117"/>
      <c r="P207" s="118">
        <f t="shared" si="16"/>
        <v>0</v>
      </c>
      <c r="Q207" s="117"/>
      <c r="R207" s="117"/>
      <c r="S207" s="118">
        <f t="shared" si="17"/>
        <v>0</v>
      </c>
    </row>
    <row r="208" spans="8:19" ht="14.25">
      <c r="H208" s="117"/>
      <c r="I208" s="117"/>
      <c r="J208" s="118">
        <f t="shared" si="15"/>
        <v>0</v>
      </c>
      <c r="K208" s="117"/>
      <c r="L208" s="117"/>
      <c r="M208" s="118">
        <f t="shared" si="18"/>
        <v>0</v>
      </c>
      <c r="N208" s="117"/>
      <c r="O208" s="117"/>
      <c r="P208" s="118">
        <f t="shared" si="16"/>
        <v>0</v>
      </c>
      <c r="Q208" s="117"/>
      <c r="R208" s="117"/>
      <c r="S208" s="118">
        <f t="shared" si="17"/>
        <v>0</v>
      </c>
    </row>
    <row r="209" spans="8:19" ht="14.25">
      <c r="H209" s="117"/>
      <c r="I209" s="117"/>
      <c r="J209" s="118">
        <f t="shared" si="15"/>
        <v>0</v>
      </c>
      <c r="K209" s="117"/>
      <c r="L209" s="117"/>
      <c r="M209" s="118">
        <f t="shared" si="18"/>
        <v>0</v>
      </c>
      <c r="N209" s="117"/>
      <c r="O209" s="117"/>
      <c r="P209" s="118">
        <f t="shared" si="16"/>
        <v>0</v>
      </c>
      <c r="Q209" s="117"/>
      <c r="R209" s="117"/>
      <c r="S209" s="118">
        <f t="shared" si="17"/>
        <v>0</v>
      </c>
    </row>
    <row r="210" spans="8:19" ht="14.25">
      <c r="H210" s="117"/>
      <c r="I210" s="117"/>
      <c r="J210" s="118">
        <f t="shared" si="15"/>
        <v>0</v>
      </c>
      <c r="K210" s="117"/>
      <c r="L210" s="117"/>
      <c r="M210" s="118">
        <f t="shared" si="18"/>
        <v>0</v>
      </c>
      <c r="N210" s="117"/>
      <c r="O210" s="117"/>
      <c r="P210" s="118">
        <f t="shared" si="16"/>
        <v>0</v>
      </c>
      <c r="Q210" s="117"/>
      <c r="R210" s="117"/>
      <c r="S210" s="118">
        <f t="shared" si="17"/>
        <v>0</v>
      </c>
    </row>
    <row r="211" spans="8:19" ht="14.25">
      <c r="H211" s="117"/>
      <c r="I211" s="117"/>
      <c r="J211" s="118">
        <f t="shared" si="15"/>
        <v>0</v>
      </c>
      <c r="K211" s="117"/>
      <c r="L211" s="117"/>
      <c r="M211" s="118">
        <f t="shared" si="18"/>
        <v>0</v>
      </c>
      <c r="N211" s="117"/>
      <c r="O211" s="117"/>
      <c r="P211" s="118">
        <f t="shared" si="16"/>
        <v>0</v>
      </c>
      <c r="Q211" s="117"/>
      <c r="R211" s="117"/>
      <c r="S211" s="118">
        <f t="shared" si="17"/>
        <v>0</v>
      </c>
    </row>
    <row r="212" spans="8:19" ht="14.25">
      <c r="H212" s="117"/>
      <c r="I212" s="117"/>
      <c r="J212" s="118">
        <f t="shared" si="15"/>
        <v>0</v>
      </c>
      <c r="K212" s="117"/>
      <c r="L212" s="117"/>
      <c r="M212" s="118">
        <f t="shared" si="18"/>
        <v>0</v>
      </c>
      <c r="N212" s="117"/>
      <c r="O212" s="117"/>
      <c r="P212" s="118">
        <f t="shared" si="16"/>
        <v>0</v>
      </c>
      <c r="Q212" s="117"/>
      <c r="R212" s="117"/>
      <c r="S212" s="118">
        <f t="shared" si="17"/>
        <v>0</v>
      </c>
    </row>
    <row r="213" spans="8:19" ht="14.25">
      <c r="H213" s="117"/>
      <c r="I213" s="117"/>
      <c r="J213" s="118">
        <f t="shared" si="15"/>
        <v>0</v>
      </c>
      <c r="K213" s="117"/>
      <c r="L213" s="117"/>
      <c r="M213" s="118">
        <f t="shared" si="18"/>
        <v>0</v>
      </c>
      <c r="N213" s="117"/>
      <c r="O213" s="117"/>
      <c r="P213" s="118">
        <f t="shared" si="16"/>
        <v>0</v>
      </c>
      <c r="Q213" s="117"/>
      <c r="R213" s="117"/>
      <c r="S213" s="118">
        <f t="shared" si="17"/>
        <v>0</v>
      </c>
    </row>
    <row r="214" spans="8:19" ht="14.25">
      <c r="H214" s="117"/>
      <c r="I214" s="117"/>
      <c r="J214" s="118">
        <f t="shared" si="15"/>
        <v>0</v>
      </c>
      <c r="K214" s="117"/>
      <c r="L214" s="117"/>
      <c r="M214" s="118">
        <f t="shared" si="18"/>
        <v>0</v>
      </c>
      <c r="N214" s="117"/>
      <c r="O214" s="117"/>
      <c r="P214" s="118">
        <f t="shared" si="16"/>
        <v>0</v>
      </c>
      <c r="Q214" s="117"/>
      <c r="R214" s="117"/>
      <c r="S214" s="118">
        <f t="shared" si="17"/>
        <v>0</v>
      </c>
    </row>
    <row r="215" spans="8:19" ht="14.25">
      <c r="H215" s="117"/>
      <c r="I215" s="117"/>
      <c r="J215" s="118">
        <f t="shared" si="15"/>
        <v>0</v>
      </c>
      <c r="K215" s="117"/>
      <c r="L215" s="117"/>
      <c r="M215" s="118">
        <f t="shared" si="18"/>
        <v>0</v>
      </c>
      <c r="N215" s="117"/>
      <c r="O215" s="117"/>
      <c r="P215" s="118">
        <f t="shared" si="16"/>
        <v>0</v>
      </c>
      <c r="Q215" s="117"/>
      <c r="R215" s="117"/>
      <c r="S215" s="118">
        <f t="shared" si="17"/>
        <v>0</v>
      </c>
    </row>
    <row r="216" spans="8:19" ht="14.25">
      <c r="H216" s="117"/>
      <c r="I216" s="117"/>
      <c r="J216" s="118">
        <f t="shared" si="15"/>
        <v>0</v>
      </c>
      <c r="K216" s="117"/>
      <c r="L216" s="117"/>
      <c r="M216" s="118">
        <f t="shared" si="18"/>
        <v>0</v>
      </c>
      <c r="N216" s="117"/>
      <c r="O216" s="117"/>
      <c r="P216" s="118">
        <f t="shared" si="16"/>
        <v>0</v>
      </c>
      <c r="Q216" s="117"/>
      <c r="R216" s="117"/>
      <c r="S216" s="118">
        <f t="shared" si="17"/>
        <v>0</v>
      </c>
    </row>
    <row r="217" spans="8:19" ht="14.25">
      <c r="H217" s="117"/>
      <c r="I217" s="117"/>
      <c r="J217" s="118">
        <f t="shared" si="15"/>
        <v>0</v>
      </c>
      <c r="K217" s="117"/>
      <c r="L217" s="117"/>
      <c r="M217" s="118">
        <f t="shared" si="18"/>
        <v>0</v>
      </c>
      <c r="N217" s="117"/>
      <c r="O217" s="117"/>
      <c r="P217" s="118">
        <f t="shared" si="16"/>
        <v>0</v>
      </c>
      <c r="Q217" s="117"/>
      <c r="R217" s="117"/>
      <c r="S217" s="118">
        <f t="shared" si="17"/>
        <v>0</v>
      </c>
    </row>
    <row r="218" spans="8:19" ht="14.25">
      <c r="H218" s="117"/>
      <c r="I218" s="117"/>
      <c r="J218" s="118">
        <f t="shared" si="15"/>
        <v>0</v>
      </c>
      <c r="K218" s="117"/>
      <c r="L218" s="117"/>
      <c r="M218" s="118">
        <f t="shared" si="18"/>
        <v>0</v>
      </c>
      <c r="N218" s="117"/>
      <c r="O218" s="117"/>
      <c r="P218" s="118">
        <f t="shared" si="16"/>
        <v>0</v>
      </c>
      <c r="Q218" s="117"/>
      <c r="R218" s="117"/>
      <c r="S218" s="118">
        <f t="shared" si="17"/>
        <v>0</v>
      </c>
    </row>
    <row r="219" spans="8:19" ht="14.25">
      <c r="H219" s="117"/>
      <c r="I219" s="117"/>
      <c r="J219" s="118">
        <f t="shared" si="15"/>
        <v>0</v>
      </c>
      <c r="K219" s="117"/>
      <c r="L219" s="117"/>
      <c r="M219" s="118">
        <f t="shared" si="18"/>
        <v>0</v>
      </c>
      <c r="N219" s="117"/>
      <c r="O219" s="117"/>
      <c r="P219" s="118">
        <f t="shared" si="16"/>
        <v>0</v>
      </c>
      <c r="Q219" s="117"/>
      <c r="R219" s="117"/>
      <c r="S219" s="118">
        <f t="shared" si="17"/>
        <v>0</v>
      </c>
    </row>
    <row r="220" spans="8:19" ht="14.25">
      <c r="H220" s="117"/>
      <c r="I220" s="117"/>
      <c r="J220" s="118">
        <f t="shared" si="15"/>
        <v>0</v>
      </c>
      <c r="K220" s="117"/>
      <c r="L220" s="117"/>
      <c r="M220" s="118">
        <f t="shared" si="18"/>
        <v>0</v>
      </c>
      <c r="N220" s="117"/>
      <c r="O220" s="117"/>
      <c r="P220" s="118">
        <f t="shared" si="16"/>
        <v>0</v>
      </c>
      <c r="Q220" s="117"/>
      <c r="R220" s="117"/>
      <c r="S220" s="118">
        <f t="shared" si="17"/>
        <v>0</v>
      </c>
    </row>
    <row r="221" spans="8:19" ht="14.25">
      <c r="H221" s="117"/>
      <c r="I221" s="117"/>
      <c r="J221" s="118">
        <f t="shared" si="15"/>
        <v>0</v>
      </c>
      <c r="K221" s="117"/>
      <c r="L221" s="117"/>
      <c r="M221" s="118">
        <f t="shared" si="18"/>
        <v>0</v>
      </c>
      <c r="N221" s="117"/>
      <c r="O221" s="117"/>
      <c r="P221" s="118">
        <f t="shared" si="16"/>
        <v>0</v>
      </c>
      <c r="Q221" s="117"/>
      <c r="R221" s="117"/>
      <c r="S221" s="118">
        <f t="shared" si="17"/>
        <v>0</v>
      </c>
    </row>
    <row r="222" spans="8:19" ht="14.25">
      <c r="H222" s="117"/>
      <c r="I222" s="117"/>
      <c r="J222" s="118">
        <f t="shared" si="15"/>
        <v>0</v>
      </c>
      <c r="K222" s="117"/>
      <c r="L222" s="117"/>
      <c r="M222" s="118">
        <f t="shared" si="18"/>
        <v>0</v>
      </c>
      <c r="N222" s="117"/>
      <c r="O222" s="117"/>
      <c r="P222" s="118">
        <f t="shared" si="16"/>
        <v>0</v>
      </c>
      <c r="Q222" s="117"/>
      <c r="R222" s="117"/>
      <c r="S222" s="118">
        <f t="shared" si="17"/>
        <v>0</v>
      </c>
    </row>
    <row r="223" spans="8:19" ht="14.25">
      <c r="H223" s="117"/>
      <c r="I223" s="117"/>
      <c r="J223" s="118">
        <f t="shared" si="15"/>
        <v>0</v>
      </c>
      <c r="K223" s="117"/>
      <c r="L223" s="117"/>
      <c r="M223" s="118">
        <f t="shared" si="18"/>
        <v>0</v>
      </c>
      <c r="N223" s="117"/>
      <c r="O223" s="117"/>
      <c r="P223" s="118">
        <f t="shared" si="16"/>
        <v>0</v>
      </c>
      <c r="Q223" s="117"/>
      <c r="R223" s="117"/>
      <c r="S223" s="118">
        <f t="shared" si="17"/>
        <v>0</v>
      </c>
    </row>
    <row r="224" spans="8:19" ht="14.25">
      <c r="H224" s="117"/>
      <c r="I224" s="117"/>
      <c r="J224" s="118">
        <f t="shared" si="15"/>
        <v>0</v>
      </c>
      <c r="K224" s="117"/>
      <c r="L224" s="117"/>
      <c r="M224" s="118">
        <f t="shared" si="18"/>
        <v>0</v>
      </c>
      <c r="N224" s="117"/>
      <c r="O224" s="117"/>
      <c r="P224" s="118">
        <f t="shared" si="16"/>
        <v>0</v>
      </c>
      <c r="Q224" s="117"/>
      <c r="R224" s="117"/>
      <c r="S224" s="118">
        <f t="shared" si="17"/>
        <v>0</v>
      </c>
    </row>
    <row r="225" spans="8:19" ht="14.25">
      <c r="H225" s="117"/>
      <c r="I225" s="117"/>
      <c r="J225" s="118">
        <f t="shared" si="15"/>
        <v>0</v>
      </c>
      <c r="K225" s="117"/>
      <c r="L225" s="117"/>
      <c r="M225" s="118">
        <f t="shared" si="18"/>
        <v>0</v>
      </c>
      <c r="N225" s="117"/>
      <c r="O225" s="117"/>
      <c r="P225" s="118">
        <f t="shared" si="16"/>
        <v>0</v>
      </c>
      <c r="Q225" s="117"/>
      <c r="R225" s="117"/>
      <c r="S225" s="118">
        <f t="shared" si="17"/>
        <v>0</v>
      </c>
    </row>
    <row r="226" spans="8:19" ht="14.25">
      <c r="H226" s="117"/>
      <c r="I226" s="117"/>
      <c r="J226" s="118">
        <f t="shared" si="15"/>
        <v>0</v>
      </c>
      <c r="K226" s="117"/>
      <c r="L226" s="117"/>
      <c r="M226" s="118">
        <f t="shared" si="18"/>
        <v>0</v>
      </c>
      <c r="N226" s="117"/>
      <c r="O226" s="117"/>
      <c r="P226" s="118">
        <f t="shared" si="16"/>
        <v>0</v>
      </c>
      <c r="Q226" s="117"/>
      <c r="R226" s="117"/>
      <c r="S226" s="118">
        <f t="shared" si="17"/>
        <v>0</v>
      </c>
    </row>
    <row r="227" spans="8:19" ht="14.25">
      <c r="H227" s="117"/>
      <c r="I227" s="117"/>
      <c r="J227" s="118">
        <f t="shared" si="15"/>
        <v>0</v>
      </c>
      <c r="K227" s="117"/>
      <c r="L227" s="117"/>
      <c r="M227" s="118">
        <f t="shared" si="18"/>
        <v>0</v>
      </c>
      <c r="N227" s="117"/>
      <c r="O227" s="117"/>
      <c r="P227" s="118">
        <f t="shared" si="16"/>
        <v>0</v>
      </c>
      <c r="Q227" s="117"/>
      <c r="R227" s="117"/>
      <c r="S227" s="118">
        <f t="shared" si="17"/>
        <v>0</v>
      </c>
    </row>
    <row r="228" spans="8:19" ht="14.25">
      <c r="H228" s="117"/>
      <c r="I228" s="117"/>
      <c r="J228" s="118">
        <f t="shared" si="15"/>
        <v>0</v>
      </c>
      <c r="K228" s="117"/>
      <c r="L228" s="117"/>
      <c r="M228" s="118">
        <f t="shared" si="18"/>
        <v>0</v>
      </c>
      <c r="N228" s="117"/>
      <c r="O228" s="117"/>
      <c r="P228" s="118">
        <f t="shared" si="16"/>
        <v>0</v>
      </c>
      <c r="Q228" s="117"/>
      <c r="R228" s="117"/>
      <c r="S228" s="118">
        <f t="shared" si="17"/>
        <v>0</v>
      </c>
    </row>
    <row r="229" spans="8:19" ht="14.25">
      <c r="H229" s="117"/>
      <c r="I229" s="117"/>
      <c r="J229" s="118">
        <f t="shared" si="15"/>
        <v>0</v>
      </c>
      <c r="K229" s="117"/>
      <c r="L229" s="117"/>
      <c r="M229" s="118">
        <f t="shared" si="18"/>
        <v>0</v>
      </c>
      <c r="N229" s="117"/>
      <c r="O229" s="117"/>
      <c r="P229" s="118">
        <f t="shared" si="16"/>
        <v>0</v>
      </c>
      <c r="Q229" s="117"/>
      <c r="R229" s="117"/>
      <c r="S229" s="118">
        <f t="shared" si="17"/>
        <v>0</v>
      </c>
    </row>
    <row r="230" spans="8:19" ht="14.25">
      <c r="H230" s="117"/>
      <c r="I230" s="117"/>
      <c r="J230" s="118">
        <f t="shared" si="15"/>
        <v>0</v>
      </c>
      <c r="K230" s="117"/>
      <c r="L230" s="117"/>
      <c r="M230" s="118">
        <f t="shared" si="18"/>
        <v>0</v>
      </c>
      <c r="N230" s="117"/>
      <c r="O230" s="117"/>
      <c r="P230" s="118">
        <f t="shared" si="16"/>
        <v>0</v>
      </c>
      <c r="Q230" s="117"/>
      <c r="R230" s="117"/>
      <c r="S230" s="118">
        <f t="shared" si="17"/>
        <v>0</v>
      </c>
    </row>
    <row r="231" spans="8:19" ht="14.25">
      <c r="H231" s="117"/>
      <c r="I231" s="117"/>
      <c r="J231" s="118">
        <f t="shared" si="15"/>
        <v>0</v>
      </c>
      <c r="K231" s="117"/>
      <c r="L231" s="117"/>
      <c r="M231" s="118">
        <f t="shared" si="18"/>
        <v>0</v>
      </c>
      <c r="N231" s="117"/>
      <c r="O231" s="117"/>
      <c r="P231" s="118">
        <f t="shared" si="16"/>
        <v>0</v>
      </c>
      <c r="Q231" s="117"/>
      <c r="R231" s="117"/>
      <c r="S231" s="118">
        <f t="shared" si="17"/>
        <v>0</v>
      </c>
    </row>
    <row r="232" spans="8:19" ht="14.25">
      <c r="H232" s="117"/>
      <c r="I232" s="117"/>
      <c r="J232" s="118">
        <f t="shared" si="15"/>
        <v>0</v>
      </c>
      <c r="K232" s="117"/>
      <c r="L232" s="117"/>
      <c r="M232" s="118">
        <f t="shared" si="18"/>
        <v>0</v>
      </c>
      <c r="N232" s="117"/>
      <c r="O232" s="117"/>
      <c r="P232" s="118">
        <f t="shared" si="16"/>
        <v>0</v>
      </c>
      <c r="Q232" s="117"/>
      <c r="R232" s="117"/>
      <c r="S232" s="118">
        <f t="shared" si="17"/>
        <v>0</v>
      </c>
    </row>
    <row r="233" spans="8:19" ht="14.25">
      <c r="H233" s="117"/>
      <c r="I233" s="117"/>
      <c r="J233" s="118">
        <f t="shared" si="15"/>
        <v>0</v>
      </c>
      <c r="K233" s="117"/>
      <c r="L233" s="117"/>
      <c r="M233" s="118">
        <f t="shared" si="18"/>
        <v>0</v>
      </c>
      <c r="N233" s="117"/>
      <c r="O233" s="117"/>
      <c r="P233" s="118">
        <f t="shared" si="16"/>
        <v>0</v>
      </c>
      <c r="Q233" s="117"/>
      <c r="R233" s="117"/>
      <c r="S233" s="118">
        <f t="shared" si="17"/>
        <v>0</v>
      </c>
    </row>
    <row r="234" spans="8:19" ht="14.25">
      <c r="H234" s="117"/>
      <c r="I234" s="117"/>
      <c r="J234" s="118">
        <f t="shared" si="15"/>
        <v>0</v>
      </c>
      <c r="K234" s="117"/>
      <c r="L234" s="117"/>
      <c r="M234" s="118">
        <f t="shared" si="18"/>
        <v>0</v>
      </c>
      <c r="N234" s="117"/>
      <c r="O234" s="117"/>
      <c r="P234" s="118">
        <f t="shared" si="16"/>
        <v>0</v>
      </c>
      <c r="Q234" s="117"/>
      <c r="R234" s="117"/>
      <c r="S234" s="118">
        <f t="shared" si="17"/>
        <v>0</v>
      </c>
    </row>
    <row r="235" spans="8:19" ht="14.25">
      <c r="H235" s="117"/>
      <c r="I235" s="117"/>
      <c r="J235" s="118">
        <f t="shared" si="15"/>
        <v>0</v>
      </c>
      <c r="K235" s="117"/>
      <c r="L235" s="117"/>
      <c r="M235" s="118">
        <f t="shared" si="18"/>
        <v>0</v>
      </c>
      <c r="N235" s="117"/>
      <c r="O235" s="117"/>
      <c r="P235" s="118">
        <f t="shared" si="16"/>
        <v>0</v>
      </c>
      <c r="Q235" s="117"/>
      <c r="R235" s="117"/>
      <c r="S235" s="118">
        <f t="shared" si="17"/>
        <v>0</v>
      </c>
    </row>
    <row r="236" spans="8:19" ht="14.25">
      <c r="H236" s="117"/>
      <c r="I236" s="117"/>
      <c r="J236" s="118">
        <f t="shared" si="15"/>
        <v>0</v>
      </c>
      <c r="K236" s="117"/>
      <c r="L236" s="117"/>
      <c r="M236" s="118">
        <f t="shared" si="18"/>
        <v>0</v>
      </c>
      <c r="N236" s="117"/>
      <c r="O236" s="117"/>
      <c r="P236" s="118">
        <f t="shared" si="16"/>
        <v>0</v>
      </c>
      <c r="Q236" s="117"/>
      <c r="R236" s="117"/>
      <c r="S236" s="118">
        <f t="shared" si="17"/>
        <v>0</v>
      </c>
    </row>
    <row r="237" spans="8:19" ht="14.25">
      <c r="H237" s="117"/>
      <c r="I237" s="117"/>
      <c r="J237" s="118">
        <f t="shared" si="15"/>
        <v>0</v>
      </c>
      <c r="K237" s="117"/>
      <c r="L237" s="117"/>
      <c r="M237" s="118">
        <f t="shared" si="18"/>
        <v>0</v>
      </c>
      <c r="N237" s="117"/>
      <c r="O237" s="117"/>
      <c r="P237" s="118">
        <f t="shared" si="16"/>
        <v>0</v>
      </c>
      <c r="Q237" s="117"/>
      <c r="R237" s="117"/>
      <c r="S237" s="118">
        <f t="shared" si="17"/>
        <v>0</v>
      </c>
    </row>
    <row r="238" spans="8:19" ht="14.25">
      <c r="H238" s="117"/>
      <c r="I238" s="117"/>
      <c r="J238" s="118">
        <f t="shared" si="15"/>
        <v>0</v>
      </c>
      <c r="K238" s="117"/>
      <c r="L238" s="117"/>
      <c r="M238" s="118">
        <f t="shared" si="18"/>
        <v>0</v>
      </c>
      <c r="N238" s="117"/>
      <c r="O238" s="117"/>
      <c r="P238" s="118">
        <f t="shared" si="16"/>
        <v>0</v>
      </c>
      <c r="Q238" s="117"/>
      <c r="R238" s="117"/>
      <c r="S238" s="118">
        <f t="shared" si="17"/>
        <v>0</v>
      </c>
    </row>
    <row r="239" spans="8:19" ht="14.25">
      <c r="H239" s="117"/>
      <c r="I239" s="117"/>
      <c r="J239" s="118">
        <f t="shared" si="15"/>
        <v>0</v>
      </c>
      <c r="K239" s="117"/>
      <c r="L239" s="117"/>
      <c r="M239" s="118">
        <f t="shared" si="18"/>
        <v>0</v>
      </c>
      <c r="N239" s="117"/>
      <c r="O239" s="117"/>
      <c r="P239" s="118">
        <f t="shared" si="16"/>
        <v>0</v>
      </c>
      <c r="Q239" s="117"/>
      <c r="R239" s="117"/>
      <c r="S239" s="118">
        <f t="shared" si="17"/>
        <v>0</v>
      </c>
    </row>
    <row r="240" spans="8:19" ht="14.25">
      <c r="H240" s="117"/>
      <c r="I240" s="117"/>
      <c r="J240" s="118">
        <f t="shared" si="15"/>
        <v>0</v>
      </c>
      <c r="K240" s="117"/>
      <c r="L240" s="117"/>
      <c r="M240" s="118">
        <f t="shared" si="18"/>
        <v>0</v>
      </c>
      <c r="N240" s="117"/>
      <c r="O240" s="117"/>
      <c r="P240" s="118">
        <f t="shared" si="16"/>
        <v>0</v>
      </c>
      <c r="Q240" s="117"/>
      <c r="R240" s="117"/>
      <c r="S240" s="118">
        <f t="shared" si="17"/>
        <v>0</v>
      </c>
    </row>
    <row r="241" spans="8:19" ht="14.25">
      <c r="H241" s="117"/>
      <c r="I241" s="117"/>
      <c r="J241" s="118">
        <f t="shared" si="15"/>
        <v>0</v>
      </c>
      <c r="K241" s="117"/>
      <c r="L241" s="117"/>
      <c r="M241" s="118">
        <f t="shared" si="18"/>
        <v>0</v>
      </c>
      <c r="N241" s="117"/>
      <c r="O241" s="117"/>
      <c r="P241" s="118">
        <f t="shared" si="16"/>
        <v>0</v>
      </c>
      <c r="Q241" s="117"/>
      <c r="R241" s="117"/>
      <c r="S241" s="118">
        <f t="shared" si="17"/>
        <v>0</v>
      </c>
    </row>
    <row r="242" spans="8:19" ht="14.25">
      <c r="H242" s="117"/>
      <c r="I242" s="117"/>
      <c r="J242" s="118">
        <f t="shared" si="15"/>
        <v>0</v>
      </c>
      <c r="K242" s="117"/>
      <c r="L242" s="117"/>
      <c r="M242" s="118">
        <f t="shared" si="18"/>
        <v>0</v>
      </c>
      <c r="N242" s="117"/>
      <c r="O242" s="117"/>
      <c r="P242" s="118">
        <f t="shared" si="16"/>
        <v>0</v>
      </c>
      <c r="Q242" s="117"/>
      <c r="R242" s="117"/>
      <c r="S242" s="118">
        <f t="shared" si="17"/>
        <v>0</v>
      </c>
    </row>
    <row r="243" spans="8:19" ht="14.25">
      <c r="H243" s="117"/>
      <c r="I243" s="117"/>
      <c r="J243" s="118">
        <f t="shared" si="15"/>
        <v>0</v>
      </c>
      <c r="K243" s="117"/>
      <c r="L243" s="117"/>
      <c r="M243" s="118">
        <f t="shared" si="18"/>
        <v>0</v>
      </c>
      <c r="N243" s="117"/>
      <c r="O243" s="117"/>
      <c r="P243" s="118">
        <f t="shared" si="16"/>
        <v>0</v>
      </c>
      <c r="Q243" s="117"/>
      <c r="R243" s="117"/>
      <c r="S243" s="118">
        <f t="shared" si="17"/>
        <v>0</v>
      </c>
    </row>
    <row r="244" spans="8:19" ht="14.25">
      <c r="H244" s="117"/>
      <c r="I244" s="117"/>
      <c r="J244" s="118">
        <f t="shared" si="15"/>
        <v>0</v>
      </c>
      <c r="K244" s="117"/>
      <c r="L244" s="117"/>
      <c r="M244" s="118">
        <f t="shared" si="18"/>
        <v>0</v>
      </c>
      <c r="N244" s="117"/>
      <c r="O244" s="117"/>
      <c r="P244" s="118">
        <f t="shared" si="16"/>
        <v>0</v>
      </c>
      <c r="Q244" s="117"/>
      <c r="R244" s="117"/>
      <c r="S244" s="118">
        <f t="shared" si="17"/>
        <v>0</v>
      </c>
    </row>
    <row r="245" spans="8:19" ht="14.25">
      <c r="H245" s="117"/>
      <c r="I245" s="117"/>
      <c r="J245" s="118">
        <f t="shared" si="15"/>
        <v>0</v>
      </c>
      <c r="K245" s="117"/>
      <c r="L245" s="117"/>
      <c r="M245" s="118">
        <f t="shared" si="18"/>
        <v>0</v>
      </c>
      <c r="N245" s="117"/>
      <c r="O245" s="117"/>
      <c r="P245" s="118">
        <f t="shared" si="16"/>
        <v>0</v>
      </c>
      <c r="Q245" s="117"/>
      <c r="R245" s="117"/>
      <c r="S245" s="118">
        <f t="shared" si="17"/>
        <v>0</v>
      </c>
    </row>
    <row r="246" spans="8:19" ht="14.25">
      <c r="H246" s="117"/>
      <c r="I246" s="117"/>
      <c r="J246" s="118">
        <f t="shared" si="15"/>
        <v>0</v>
      </c>
      <c r="K246" s="117"/>
      <c r="L246" s="117"/>
      <c r="M246" s="118">
        <f t="shared" si="18"/>
        <v>0</v>
      </c>
      <c r="N246" s="117"/>
      <c r="O246" s="117"/>
      <c r="P246" s="118">
        <f t="shared" si="16"/>
        <v>0</v>
      </c>
      <c r="Q246" s="117"/>
      <c r="R246" s="117"/>
      <c r="S246" s="118">
        <f t="shared" si="17"/>
        <v>0</v>
      </c>
    </row>
    <row r="247" spans="8:19" ht="14.25">
      <c r="H247" s="117"/>
      <c r="I247" s="117"/>
      <c r="J247" s="118">
        <f t="shared" si="15"/>
        <v>0</v>
      </c>
      <c r="K247" s="117"/>
      <c r="L247" s="117"/>
      <c r="M247" s="118">
        <f t="shared" si="18"/>
        <v>0</v>
      </c>
      <c r="N247" s="117"/>
      <c r="O247" s="117"/>
      <c r="P247" s="118">
        <f t="shared" si="16"/>
        <v>0</v>
      </c>
      <c r="Q247" s="117"/>
      <c r="R247" s="117"/>
      <c r="S247" s="118">
        <f t="shared" si="17"/>
        <v>0</v>
      </c>
    </row>
    <row r="248" spans="8:19" ht="14.25">
      <c r="H248" s="117"/>
      <c r="I248" s="117"/>
      <c r="J248" s="118">
        <f t="shared" si="15"/>
        <v>0</v>
      </c>
      <c r="K248" s="117"/>
      <c r="L248" s="117"/>
      <c r="M248" s="118">
        <f t="shared" si="18"/>
        <v>0</v>
      </c>
      <c r="N248" s="117"/>
      <c r="O248" s="117"/>
      <c r="P248" s="118">
        <f t="shared" si="16"/>
        <v>0</v>
      </c>
      <c r="Q248" s="117"/>
      <c r="R248" s="117"/>
      <c r="S248" s="118">
        <f t="shared" si="17"/>
        <v>0</v>
      </c>
    </row>
    <row r="249" spans="8:19" ht="14.25">
      <c r="H249" s="117"/>
      <c r="I249" s="117"/>
      <c r="J249" s="118">
        <f t="shared" si="15"/>
        <v>0</v>
      </c>
      <c r="K249" s="117"/>
      <c r="L249" s="117"/>
      <c r="M249" s="118">
        <f t="shared" si="18"/>
        <v>0</v>
      </c>
      <c r="N249" s="117"/>
      <c r="O249" s="117"/>
      <c r="P249" s="118">
        <f t="shared" si="16"/>
        <v>0</v>
      </c>
      <c r="Q249" s="117"/>
      <c r="R249" s="117"/>
      <c r="S249" s="118">
        <f t="shared" si="17"/>
        <v>0</v>
      </c>
    </row>
    <row r="250" spans="8:19" ht="14.25">
      <c r="H250" s="117"/>
      <c r="I250" s="117"/>
      <c r="J250" s="118">
        <f t="shared" si="15"/>
        <v>0</v>
      </c>
      <c r="K250" s="117"/>
      <c r="L250" s="117"/>
      <c r="M250" s="118">
        <f t="shared" si="18"/>
        <v>0</v>
      </c>
      <c r="N250" s="117"/>
      <c r="O250" s="117"/>
      <c r="P250" s="118">
        <f t="shared" si="16"/>
        <v>0</v>
      </c>
      <c r="Q250" s="117"/>
      <c r="R250" s="117"/>
      <c r="S250" s="118">
        <f t="shared" si="17"/>
        <v>0</v>
      </c>
    </row>
    <row r="251" spans="8:19" ht="14.25">
      <c r="H251" s="117"/>
      <c r="I251" s="117"/>
      <c r="J251" s="118">
        <f t="shared" si="15"/>
        <v>0</v>
      </c>
      <c r="K251" s="117"/>
      <c r="L251" s="117"/>
      <c r="M251" s="118">
        <f t="shared" si="18"/>
        <v>0</v>
      </c>
      <c r="N251" s="117"/>
      <c r="O251" s="117"/>
      <c r="P251" s="118">
        <f t="shared" si="16"/>
        <v>0</v>
      </c>
      <c r="Q251" s="117"/>
      <c r="R251" s="117"/>
      <c r="S251" s="118">
        <f t="shared" si="17"/>
        <v>0</v>
      </c>
    </row>
    <row r="252" spans="8:19" ht="14.25">
      <c r="H252" s="117"/>
      <c r="I252" s="117"/>
      <c r="J252" s="118">
        <f t="shared" si="15"/>
        <v>0</v>
      </c>
      <c r="K252" s="117"/>
      <c r="L252" s="117"/>
      <c r="M252" s="118">
        <f t="shared" si="18"/>
        <v>0</v>
      </c>
      <c r="N252" s="117"/>
      <c r="O252" s="117"/>
      <c r="P252" s="118">
        <f t="shared" si="16"/>
        <v>0</v>
      </c>
      <c r="Q252" s="117"/>
      <c r="R252" s="117"/>
      <c r="S252" s="118">
        <f t="shared" si="17"/>
        <v>0</v>
      </c>
    </row>
    <row r="253" spans="8:19" ht="14.25">
      <c r="H253" s="117"/>
      <c r="I253" s="117"/>
      <c r="J253" s="118">
        <f t="shared" si="15"/>
        <v>0</v>
      </c>
      <c r="K253" s="117"/>
      <c r="L253" s="117"/>
      <c r="M253" s="118">
        <f t="shared" si="18"/>
        <v>0</v>
      </c>
      <c r="N253" s="117"/>
      <c r="O253" s="117"/>
      <c r="P253" s="118">
        <f t="shared" si="16"/>
        <v>0</v>
      </c>
      <c r="Q253" s="117"/>
      <c r="R253" s="117"/>
      <c r="S253" s="118">
        <f t="shared" si="17"/>
        <v>0</v>
      </c>
    </row>
    <row r="254" spans="8:19" ht="14.25">
      <c r="H254" s="117"/>
      <c r="I254" s="117"/>
      <c r="J254" s="118">
        <f t="shared" si="15"/>
        <v>0</v>
      </c>
      <c r="K254" s="117"/>
      <c r="L254" s="117"/>
      <c r="M254" s="118">
        <f t="shared" si="18"/>
        <v>0</v>
      </c>
      <c r="N254" s="117"/>
      <c r="O254" s="117"/>
      <c r="P254" s="118">
        <f t="shared" si="16"/>
        <v>0</v>
      </c>
      <c r="Q254" s="117"/>
      <c r="R254" s="117"/>
      <c r="S254" s="118">
        <f t="shared" si="17"/>
        <v>0</v>
      </c>
    </row>
    <row r="255" spans="8:19" ht="14.25">
      <c r="H255" s="117"/>
      <c r="I255" s="117"/>
      <c r="J255" s="118">
        <f t="shared" si="15"/>
        <v>0</v>
      </c>
      <c r="K255" s="117"/>
      <c r="L255" s="117"/>
      <c r="M255" s="118">
        <f t="shared" si="18"/>
        <v>0</v>
      </c>
      <c r="N255" s="117"/>
      <c r="O255" s="117"/>
      <c r="P255" s="118">
        <f t="shared" si="16"/>
        <v>0</v>
      </c>
      <c r="Q255" s="117"/>
      <c r="R255" s="117"/>
      <c r="S255" s="118">
        <f t="shared" si="17"/>
        <v>0</v>
      </c>
    </row>
    <row r="256" spans="8:19" ht="14.25">
      <c r="H256" s="117"/>
      <c r="I256" s="117"/>
      <c r="J256" s="118">
        <f t="shared" si="15"/>
        <v>0</v>
      </c>
      <c r="K256" s="117"/>
      <c r="L256" s="117"/>
      <c r="M256" s="118">
        <f t="shared" si="18"/>
        <v>0</v>
      </c>
      <c r="N256" s="117"/>
      <c r="O256" s="117"/>
      <c r="P256" s="118">
        <f t="shared" si="16"/>
        <v>0</v>
      </c>
      <c r="Q256" s="117"/>
      <c r="R256" s="117"/>
      <c r="S256" s="118">
        <f t="shared" si="17"/>
        <v>0</v>
      </c>
    </row>
    <row r="257" spans="8:19" ht="14.25">
      <c r="H257" s="117"/>
      <c r="I257" s="117"/>
      <c r="J257" s="118">
        <f t="shared" si="15"/>
        <v>0</v>
      </c>
      <c r="K257" s="117"/>
      <c r="L257" s="117"/>
      <c r="M257" s="118">
        <f t="shared" si="18"/>
        <v>0</v>
      </c>
      <c r="N257" s="117"/>
      <c r="O257" s="117"/>
      <c r="P257" s="118">
        <f t="shared" si="16"/>
        <v>0</v>
      </c>
      <c r="Q257" s="117"/>
      <c r="R257" s="117"/>
      <c r="S257" s="118">
        <f t="shared" si="17"/>
        <v>0</v>
      </c>
    </row>
    <row r="258" spans="8:19" ht="14.25">
      <c r="H258" s="117"/>
      <c r="I258" s="117"/>
      <c r="J258" s="118">
        <f t="shared" si="15"/>
        <v>0</v>
      </c>
      <c r="K258" s="117"/>
      <c r="L258" s="117"/>
      <c r="M258" s="118">
        <f t="shared" si="18"/>
        <v>0</v>
      </c>
      <c r="N258" s="117"/>
      <c r="O258" s="117"/>
      <c r="P258" s="118">
        <f t="shared" si="16"/>
        <v>0</v>
      </c>
      <c r="Q258" s="117"/>
      <c r="R258" s="117"/>
      <c r="S258" s="118">
        <f t="shared" si="17"/>
        <v>0</v>
      </c>
    </row>
    <row r="259" spans="8:19" ht="14.25">
      <c r="H259" s="117"/>
      <c r="I259" s="117"/>
      <c r="J259" s="118">
        <f t="shared" si="15"/>
        <v>0</v>
      </c>
      <c r="K259" s="117"/>
      <c r="L259" s="117"/>
      <c r="M259" s="118">
        <f t="shared" si="18"/>
        <v>0</v>
      </c>
      <c r="N259" s="117"/>
      <c r="O259" s="117"/>
      <c r="P259" s="118">
        <f t="shared" si="16"/>
        <v>0</v>
      </c>
      <c r="Q259" s="117"/>
      <c r="R259" s="117"/>
      <c r="S259" s="118">
        <f t="shared" si="17"/>
        <v>0</v>
      </c>
    </row>
    <row r="260" spans="8:19" ht="14.25">
      <c r="H260" s="117"/>
      <c r="I260" s="117"/>
      <c r="J260" s="118">
        <f t="shared" si="15"/>
        <v>0</v>
      </c>
      <c r="K260" s="117"/>
      <c r="L260" s="117"/>
      <c r="M260" s="118">
        <f t="shared" si="18"/>
        <v>0</v>
      </c>
      <c r="N260" s="117"/>
      <c r="O260" s="117"/>
      <c r="P260" s="118">
        <f t="shared" si="16"/>
        <v>0</v>
      </c>
      <c r="Q260" s="117"/>
      <c r="R260" s="117"/>
      <c r="S260" s="118">
        <f t="shared" si="17"/>
        <v>0</v>
      </c>
    </row>
    <row r="261" spans="8:19" ht="14.25">
      <c r="H261" s="117"/>
      <c r="I261" s="117"/>
      <c r="J261" s="118">
        <f t="shared" ref="J261:J324" si="19">H261*I261</f>
        <v>0</v>
      </c>
      <c r="K261" s="117"/>
      <c r="L261" s="117"/>
      <c r="M261" s="118">
        <f t="shared" si="18"/>
        <v>0</v>
      </c>
      <c r="N261" s="117"/>
      <c r="O261" s="117"/>
      <c r="P261" s="118">
        <f t="shared" si="16"/>
        <v>0</v>
      </c>
      <c r="Q261" s="117"/>
      <c r="R261" s="117"/>
      <c r="S261" s="118">
        <f t="shared" si="17"/>
        <v>0</v>
      </c>
    </row>
    <row r="262" spans="8:19" ht="14.25">
      <c r="H262" s="117"/>
      <c r="I262" s="117"/>
      <c r="J262" s="118">
        <f t="shared" si="19"/>
        <v>0</v>
      </c>
      <c r="K262" s="117"/>
      <c r="L262" s="117"/>
      <c r="M262" s="118">
        <f t="shared" si="18"/>
        <v>0</v>
      </c>
      <c r="N262" s="117"/>
      <c r="O262" s="117"/>
      <c r="P262" s="118">
        <f t="shared" si="16"/>
        <v>0</v>
      </c>
      <c r="Q262" s="117"/>
      <c r="R262" s="117"/>
      <c r="S262" s="118">
        <f t="shared" si="17"/>
        <v>0</v>
      </c>
    </row>
    <row r="263" spans="8:19" ht="14.25">
      <c r="H263" s="117"/>
      <c r="I263" s="117"/>
      <c r="J263" s="118">
        <f t="shared" si="19"/>
        <v>0</v>
      </c>
      <c r="K263" s="117"/>
      <c r="L263" s="117"/>
      <c r="M263" s="118">
        <f t="shared" si="18"/>
        <v>0</v>
      </c>
      <c r="N263" s="117"/>
      <c r="O263" s="117"/>
      <c r="P263" s="118">
        <f t="shared" si="16"/>
        <v>0</v>
      </c>
      <c r="Q263" s="117"/>
      <c r="R263" s="117"/>
      <c r="S263" s="118">
        <f t="shared" si="17"/>
        <v>0</v>
      </c>
    </row>
    <row r="264" spans="8:19" ht="14.25">
      <c r="H264" s="117"/>
      <c r="I264" s="117"/>
      <c r="J264" s="118">
        <f t="shared" si="19"/>
        <v>0</v>
      </c>
      <c r="K264" s="117"/>
      <c r="L264" s="117"/>
      <c r="M264" s="118">
        <f t="shared" si="18"/>
        <v>0</v>
      </c>
      <c r="N264" s="117"/>
      <c r="O264" s="117"/>
      <c r="P264" s="118">
        <f t="shared" si="16"/>
        <v>0</v>
      </c>
      <c r="Q264" s="117"/>
      <c r="R264" s="117"/>
      <c r="S264" s="118">
        <f t="shared" si="17"/>
        <v>0</v>
      </c>
    </row>
    <row r="265" spans="8:19" ht="14.25">
      <c r="H265" s="117"/>
      <c r="I265" s="117"/>
      <c r="J265" s="118">
        <f t="shared" si="19"/>
        <v>0</v>
      </c>
      <c r="K265" s="117"/>
      <c r="L265" s="117"/>
      <c r="M265" s="118">
        <f t="shared" si="18"/>
        <v>0</v>
      </c>
      <c r="N265" s="117"/>
      <c r="O265" s="117"/>
      <c r="P265" s="118">
        <f t="shared" si="16"/>
        <v>0</v>
      </c>
      <c r="Q265" s="117"/>
      <c r="R265" s="117"/>
      <c r="S265" s="118">
        <f t="shared" si="17"/>
        <v>0</v>
      </c>
    </row>
    <row r="266" spans="8:19" ht="14.25">
      <c r="H266" s="117"/>
      <c r="I266" s="117"/>
      <c r="J266" s="118">
        <f t="shared" si="19"/>
        <v>0</v>
      </c>
      <c r="K266" s="117"/>
      <c r="L266" s="117"/>
      <c r="M266" s="118">
        <f t="shared" si="18"/>
        <v>0</v>
      </c>
      <c r="N266" s="117"/>
      <c r="O266" s="117"/>
      <c r="P266" s="118">
        <f t="shared" si="16"/>
        <v>0</v>
      </c>
      <c r="Q266" s="117"/>
      <c r="R266" s="117"/>
      <c r="S266" s="118">
        <f t="shared" si="17"/>
        <v>0</v>
      </c>
    </row>
    <row r="267" spans="8:19" ht="14.25">
      <c r="H267" s="117"/>
      <c r="I267" s="117"/>
      <c r="J267" s="118">
        <f t="shared" si="19"/>
        <v>0</v>
      </c>
      <c r="K267" s="117"/>
      <c r="L267" s="117"/>
      <c r="M267" s="118">
        <f t="shared" si="18"/>
        <v>0</v>
      </c>
      <c r="N267" s="117"/>
      <c r="O267" s="117"/>
      <c r="P267" s="118">
        <f t="shared" si="16"/>
        <v>0</v>
      </c>
      <c r="Q267" s="117"/>
      <c r="R267" s="117"/>
      <c r="S267" s="118">
        <f t="shared" si="17"/>
        <v>0</v>
      </c>
    </row>
    <row r="268" spans="8:19" ht="14.25">
      <c r="H268" s="117"/>
      <c r="I268" s="117"/>
      <c r="J268" s="118">
        <f t="shared" si="19"/>
        <v>0</v>
      </c>
      <c r="K268" s="117"/>
      <c r="L268" s="117"/>
      <c r="M268" s="118">
        <f t="shared" si="18"/>
        <v>0</v>
      </c>
      <c r="N268" s="117"/>
      <c r="O268" s="117"/>
      <c r="P268" s="118">
        <f t="shared" si="16"/>
        <v>0</v>
      </c>
      <c r="Q268" s="117"/>
      <c r="R268" s="117"/>
      <c r="S268" s="118">
        <f t="shared" si="17"/>
        <v>0</v>
      </c>
    </row>
    <row r="269" spans="8:19" ht="14.25">
      <c r="H269" s="117"/>
      <c r="I269" s="117"/>
      <c r="J269" s="118">
        <f t="shared" si="19"/>
        <v>0</v>
      </c>
      <c r="K269" s="117"/>
      <c r="L269" s="117"/>
      <c r="M269" s="118">
        <f t="shared" si="18"/>
        <v>0</v>
      </c>
      <c r="N269" s="117"/>
      <c r="O269" s="117"/>
      <c r="P269" s="118">
        <f t="shared" ref="P269:P332" si="20">N269*O269</f>
        <v>0</v>
      </c>
      <c r="Q269" s="117"/>
      <c r="R269" s="117"/>
      <c r="S269" s="118">
        <f t="shared" si="17"/>
        <v>0</v>
      </c>
    </row>
    <row r="270" spans="8:19" ht="14.25">
      <c r="H270" s="117"/>
      <c r="I270" s="117"/>
      <c r="J270" s="118">
        <f t="shared" si="19"/>
        <v>0</v>
      </c>
      <c r="K270" s="117"/>
      <c r="L270" s="117"/>
      <c r="M270" s="118">
        <f t="shared" si="18"/>
        <v>0</v>
      </c>
      <c r="N270" s="117"/>
      <c r="O270" s="117"/>
      <c r="P270" s="118">
        <f t="shared" si="20"/>
        <v>0</v>
      </c>
      <c r="Q270" s="117"/>
      <c r="R270" s="117"/>
      <c r="S270" s="118">
        <f t="shared" ref="S270:S333" si="21">Q270*R270</f>
        <v>0</v>
      </c>
    </row>
    <row r="271" spans="8:19" ht="14.25">
      <c r="H271" s="117"/>
      <c r="I271" s="117"/>
      <c r="J271" s="118">
        <f t="shared" si="19"/>
        <v>0</v>
      </c>
      <c r="K271" s="117"/>
      <c r="L271" s="117"/>
      <c r="M271" s="118">
        <f t="shared" ref="M271:M334" si="22">K271*L271</f>
        <v>0</v>
      </c>
      <c r="N271" s="117"/>
      <c r="O271" s="117"/>
      <c r="P271" s="118">
        <f t="shared" si="20"/>
        <v>0</v>
      </c>
      <c r="Q271" s="117"/>
      <c r="R271" s="117"/>
      <c r="S271" s="118">
        <f t="shared" si="21"/>
        <v>0</v>
      </c>
    </row>
    <row r="272" spans="8:19" ht="14.25">
      <c r="H272" s="117"/>
      <c r="I272" s="117"/>
      <c r="J272" s="118">
        <f t="shared" si="19"/>
        <v>0</v>
      </c>
      <c r="K272" s="117"/>
      <c r="L272" s="117"/>
      <c r="M272" s="118">
        <f t="shared" si="22"/>
        <v>0</v>
      </c>
      <c r="N272" s="117"/>
      <c r="O272" s="117"/>
      <c r="P272" s="118">
        <f t="shared" si="20"/>
        <v>0</v>
      </c>
      <c r="Q272" s="117"/>
      <c r="R272" s="117"/>
      <c r="S272" s="118">
        <f t="shared" si="21"/>
        <v>0</v>
      </c>
    </row>
    <row r="273" spans="8:19" ht="14.25">
      <c r="H273" s="117"/>
      <c r="I273" s="117"/>
      <c r="J273" s="118">
        <f t="shared" si="19"/>
        <v>0</v>
      </c>
      <c r="K273" s="117"/>
      <c r="L273" s="117"/>
      <c r="M273" s="118">
        <f t="shared" si="22"/>
        <v>0</v>
      </c>
      <c r="N273" s="117"/>
      <c r="O273" s="117"/>
      <c r="P273" s="118">
        <f t="shared" si="20"/>
        <v>0</v>
      </c>
      <c r="Q273" s="117"/>
      <c r="R273" s="117"/>
      <c r="S273" s="118">
        <f t="shared" si="21"/>
        <v>0</v>
      </c>
    </row>
    <row r="274" spans="8:19" ht="14.25">
      <c r="H274" s="117"/>
      <c r="I274" s="117"/>
      <c r="J274" s="118">
        <f t="shared" si="19"/>
        <v>0</v>
      </c>
      <c r="K274" s="117"/>
      <c r="L274" s="117"/>
      <c r="M274" s="118">
        <f t="shared" si="22"/>
        <v>0</v>
      </c>
      <c r="N274" s="117"/>
      <c r="O274" s="117"/>
      <c r="P274" s="118">
        <f t="shared" si="20"/>
        <v>0</v>
      </c>
      <c r="Q274" s="117"/>
      <c r="R274" s="117"/>
      <c r="S274" s="118">
        <f t="shared" si="21"/>
        <v>0</v>
      </c>
    </row>
    <row r="275" spans="8:19" ht="14.25">
      <c r="H275" s="117"/>
      <c r="I275" s="117"/>
      <c r="J275" s="118">
        <f t="shared" si="19"/>
        <v>0</v>
      </c>
      <c r="K275" s="117"/>
      <c r="L275" s="117"/>
      <c r="M275" s="118">
        <f t="shared" si="22"/>
        <v>0</v>
      </c>
      <c r="N275" s="117"/>
      <c r="O275" s="117"/>
      <c r="P275" s="118">
        <f t="shared" si="20"/>
        <v>0</v>
      </c>
      <c r="Q275" s="117"/>
      <c r="R275" s="117"/>
      <c r="S275" s="118">
        <f t="shared" si="21"/>
        <v>0</v>
      </c>
    </row>
    <row r="276" spans="8:19" ht="14.25">
      <c r="H276" s="117"/>
      <c r="I276" s="117"/>
      <c r="J276" s="118">
        <f t="shared" si="19"/>
        <v>0</v>
      </c>
      <c r="K276" s="117"/>
      <c r="L276" s="117"/>
      <c r="M276" s="118">
        <f t="shared" si="22"/>
        <v>0</v>
      </c>
      <c r="N276" s="117"/>
      <c r="O276" s="117"/>
      <c r="P276" s="118">
        <f t="shared" si="20"/>
        <v>0</v>
      </c>
      <c r="Q276" s="117"/>
      <c r="R276" s="117"/>
      <c r="S276" s="118">
        <f t="shared" si="21"/>
        <v>0</v>
      </c>
    </row>
    <row r="277" spans="8:19" ht="14.25">
      <c r="H277" s="117"/>
      <c r="I277" s="117"/>
      <c r="J277" s="118">
        <f t="shared" si="19"/>
        <v>0</v>
      </c>
      <c r="K277" s="117"/>
      <c r="L277" s="117"/>
      <c r="M277" s="118">
        <f t="shared" si="22"/>
        <v>0</v>
      </c>
      <c r="N277" s="117"/>
      <c r="O277" s="117"/>
      <c r="P277" s="118">
        <f t="shared" si="20"/>
        <v>0</v>
      </c>
      <c r="Q277" s="117"/>
      <c r="R277" s="117"/>
      <c r="S277" s="118">
        <f t="shared" si="21"/>
        <v>0</v>
      </c>
    </row>
    <row r="278" spans="8:19" ht="14.25">
      <c r="H278" s="117"/>
      <c r="I278" s="117"/>
      <c r="J278" s="118">
        <f t="shared" si="19"/>
        <v>0</v>
      </c>
      <c r="K278" s="117"/>
      <c r="L278" s="117"/>
      <c r="M278" s="118">
        <f t="shared" si="22"/>
        <v>0</v>
      </c>
      <c r="N278" s="117"/>
      <c r="O278" s="117"/>
      <c r="P278" s="118">
        <f t="shared" si="20"/>
        <v>0</v>
      </c>
      <c r="Q278" s="117"/>
      <c r="R278" s="117"/>
      <c r="S278" s="118">
        <f t="shared" si="21"/>
        <v>0</v>
      </c>
    </row>
    <row r="279" spans="8:19" ht="14.25">
      <c r="H279" s="117"/>
      <c r="I279" s="117"/>
      <c r="J279" s="118">
        <f t="shared" si="19"/>
        <v>0</v>
      </c>
      <c r="K279" s="117"/>
      <c r="L279" s="117"/>
      <c r="M279" s="118">
        <f t="shared" si="22"/>
        <v>0</v>
      </c>
      <c r="N279" s="117"/>
      <c r="O279" s="117"/>
      <c r="P279" s="118">
        <f t="shared" si="20"/>
        <v>0</v>
      </c>
      <c r="Q279" s="117"/>
      <c r="R279" s="117"/>
      <c r="S279" s="118">
        <f t="shared" si="21"/>
        <v>0</v>
      </c>
    </row>
    <row r="280" spans="8:19" ht="14.25">
      <c r="H280" s="117"/>
      <c r="I280" s="117"/>
      <c r="J280" s="118">
        <f t="shared" si="19"/>
        <v>0</v>
      </c>
      <c r="K280" s="117"/>
      <c r="L280" s="117"/>
      <c r="M280" s="118">
        <f t="shared" si="22"/>
        <v>0</v>
      </c>
      <c r="N280" s="117"/>
      <c r="O280" s="117"/>
      <c r="P280" s="118">
        <f t="shared" si="20"/>
        <v>0</v>
      </c>
      <c r="Q280" s="117"/>
      <c r="R280" s="117"/>
      <c r="S280" s="118">
        <f t="shared" si="21"/>
        <v>0</v>
      </c>
    </row>
    <row r="281" spans="8:19" ht="14.25">
      <c r="H281" s="117"/>
      <c r="I281" s="117"/>
      <c r="J281" s="118">
        <f t="shared" si="19"/>
        <v>0</v>
      </c>
      <c r="K281" s="117"/>
      <c r="L281" s="117"/>
      <c r="M281" s="118">
        <f t="shared" si="22"/>
        <v>0</v>
      </c>
      <c r="N281" s="117"/>
      <c r="O281" s="117"/>
      <c r="P281" s="118">
        <f t="shared" si="20"/>
        <v>0</v>
      </c>
      <c r="Q281" s="117"/>
      <c r="R281" s="117"/>
      <c r="S281" s="118">
        <f t="shared" si="21"/>
        <v>0</v>
      </c>
    </row>
    <row r="282" spans="8:19" ht="14.25">
      <c r="H282" s="117"/>
      <c r="I282" s="117"/>
      <c r="J282" s="118">
        <f t="shared" si="19"/>
        <v>0</v>
      </c>
      <c r="K282" s="117"/>
      <c r="L282" s="117"/>
      <c r="M282" s="118">
        <f t="shared" si="22"/>
        <v>0</v>
      </c>
      <c r="N282" s="117"/>
      <c r="O282" s="117"/>
      <c r="P282" s="118">
        <f t="shared" si="20"/>
        <v>0</v>
      </c>
      <c r="Q282" s="117"/>
      <c r="R282" s="117"/>
      <c r="S282" s="118">
        <f t="shared" si="21"/>
        <v>0</v>
      </c>
    </row>
    <row r="283" spans="8:19" ht="14.25">
      <c r="H283" s="117"/>
      <c r="I283" s="117"/>
      <c r="J283" s="118">
        <f t="shared" si="19"/>
        <v>0</v>
      </c>
      <c r="K283" s="117"/>
      <c r="L283" s="117"/>
      <c r="M283" s="118">
        <f t="shared" si="22"/>
        <v>0</v>
      </c>
      <c r="N283" s="117"/>
      <c r="O283" s="117"/>
      <c r="P283" s="118">
        <f t="shared" si="20"/>
        <v>0</v>
      </c>
      <c r="Q283" s="117"/>
      <c r="R283" s="117"/>
      <c r="S283" s="118">
        <f t="shared" si="21"/>
        <v>0</v>
      </c>
    </row>
    <row r="284" spans="8:19" ht="14.25">
      <c r="H284" s="117"/>
      <c r="I284" s="117"/>
      <c r="J284" s="118">
        <f t="shared" si="19"/>
        <v>0</v>
      </c>
      <c r="K284" s="117"/>
      <c r="L284" s="117"/>
      <c r="M284" s="118">
        <f t="shared" si="22"/>
        <v>0</v>
      </c>
      <c r="N284" s="117"/>
      <c r="O284" s="117"/>
      <c r="P284" s="118">
        <f t="shared" si="20"/>
        <v>0</v>
      </c>
      <c r="Q284" s="117"/>
      <c r="R284" s="117"/>
      <c r="S284" s="118">
        <f t="shared" si="21"/>
        <v>0</v>
      </c>
    </row>
    <row r="285" spans="8:19" ht="14.25">
      <c r="H285" s="117"/>
      <c r="I285" s="117"/>
      <c r="J285" s="118">
        <f t="shared" si="19"/>
        <v>0</v>
      </c>
      <c r="K285" s="117"/>
      <c r="L285" s="117"/>
      <c r="M285" s="118">
        <f t="shared" si="22"/>
        <v>0</v>
      </c>
      <c r="N285" s="117"/>
      <c r="O285" s="117"/>
      <c r="P285" s="118">
        <f t="shared" si="20"/>
        <v>0</v>
      </c>
      <c r="Q285" s="117"/>
      <c r="R285" s="117"/>
      <c r="S285" s="118">
        <f t="shared" si="21"/>
        <v>0</v>
      </c>
    </row>
    <row r="286" spans="8:19" ht="14.25">
      <c r="H286" s="117"/>
      <c r="I286" s="117"/>
      <c r="J286" s="118">
        <f t="shared" si="19"/>
        <v>0</v>
      </c>
      <c r="K286" s="117"/>
      <c r="L286" s="117"/>
      <c r="M286" s="118">
        <f t="shared" si="22"/>
        <v>0</v>
      </c>
      <c r="N286" s="117"/>
      <c r="O286" s="117"/>
      <c r="P286" s="118">
        <f t="shared" si="20"/>
        <v>0</v>
      </c>
      <c r="Q286" s="117"/>
      <c r="R286" s="117"/>
      <c r="S286" s="118">
        <f t="shared" si="21"/>
        <v>0</v>
      </c>
    </row>
    <row r="287" spans="8:19" ht="14.25">
      <c r="H287" s="117"/>
      <c r="I287" s="117"/>
      <c r="J287" s="118">
        <f t="shared" si="19"/>
        <v>0</v>
      </c>
      <c r="K287" s="117"/>
      <c r="L287" s="117"/>
      <c r="M287" s="118">
        <f t="shared" si="22"/>
        <v>0</v>
      </c>
      <c r="N287" s="117"/>
      <c r="O287" s="117"/>
      <c r="P287" s="118">
        <f t="shared" si="20"/>
        <v>0</v>
      </c>
      <c r="Q287" s="117"/>
      <c r="R287" s="117"/>
      <c r="S287" s="118">
        <f t="shared" si="21"/>
        <v>0</v>
      </c>
    </row>
    <row r="288" spans="8:19" ht="14.25">
      <c r="H288" s="117"/>
      <c r="I288" s="117"/>
      <c r="J288" s="118">
        <f t="shared" si="19"/>
        <v>0</v>
      </c>
      <c r="K288" s="117"/>
      <c r="L288" s="117"/>
      <c r="M288" s="118">
        <f t="shared" si="22"/>
        <v>0</v>
      </c>
      <c r="N288" s="117"/>
      <c r="O288" s="117"/>
      <c r="P288" s="118">
        <f t="shared" si="20"/>
        <v>0</v>
      </c>
      <c r="Q288" s="117"/>
      <c r="R288" s="117"/>
      <c r="S288" s="118">
        <f t="shared" si="21"/>
        <v>0</v>
      </c>
    </row>
    <row r="289" spans="8:19" ht="14.25">
      <c r="H289" s="117"/>
      <c r="I289" s="117"/>
      <c r="J289" s="118">
        <f t="shared" si="19"/>
        <v>0</v>
      </c>
      <c r="K289" s="117"/>
      <c r="L289" s="117"/>
      <c r="M289" s="118">
        <f t="shared" si="22"/>
        <v>0</v>
      </c>
      <c r="N289" s="117"/>
      <c r="O289" s="117"/>
      <c r="P289" s="118">
        <f t="shared" si="20"/>
        <v>0</v>
      </c>
      <c r="Q289" s="117"/>
      <c r="R289" s="117"/>
      <c r="S289" s="118">
        <f t="shared" si="21"/>
        <v>0</v>
      </c>
    </row>
    <row r="290" spans="8:19" ht="14.25">
      <c r="H290" s="117"/>
      <c r="I290" s="117"/>
      <c r="J290" s="118">
        <f t="shared" si="19"/>
        <v>0</v>
      </c>
      <c r="K290" s="117"/>
      <c r="L290" s="117"/>
      <c r="M290" s="118">
        <f t="shared" si="22"/>
        <v>0</v>
      </c>
      <c r="N290" s="117"/>
      <c r="O290" s="117"/>
      <c r="P290" s="118">
        <f t="shared" si="20"/>
        <v>0</v>
      </c>
      <c r="Q290" s="117"/>
      <c r="R290" s="117"/>
      <c r="S290" s="118">
        <f t="shared" si="21"/>
        <v>0</v>
      </c>
    </row>
    <row r="291" spans="8:19" ht="14.25">
      <c r="H291" s="117"/>
      <c r="I291" s="117"/>
      <c r="J291" s="118">
        <f t="shared" si="19"/>
        <v>0</v>
      </c>
      <c r="K291" s="117"/>
      <c r="L291" s="117"/>
      <c r="M291" s="118">
        <f t="shared" si="22"/>
        <v>0</v>
      </c>
      <c r="N291" s="117"/>
      <c r="O291" s="117"/>
      <c r="P291" s="118">
        <f t="shared" si="20"/>
        <v>0</v>
      </c>
      <c r="Q291" s="117"/>
      <c r="R291" s="117"/>
      <c r="S291" s="118">
        <f t="shared" si="21"/>
        <v>0</v>
      </c>
    </row>
    <row r="292" spans="8:19" ht="14.25">
      <c r="H292" s="117"/>
      <c r="I292" s="117"/>
      <c r="J292" s="118">
        <f t="shared" si="19"/>
        <v>0</v>
      </c>
      <c r="K292" s="117"/>
      <c r="L292" s="117"/>
      <c r="M292" s="118">
        <f t="shared" si="22"/>
        <v>0</v>
      </c>
      <c r="N292" s="117"/>
      <c r="O292" s="117"/>
      <c r="P292" s="118">
        <f t="shared" si="20"/>
        <v>0</v>
      </c>
      <c r="Q292" s="117"/>
      <c r="R292" s="117"/>
      <c r="S292" s="118">
        <f t="shared" si="21"/>
        <v>0</v>
      </c>
    </row>
    <row r="293" spans="8:19" ht="14.25">
      <c r="H293" s="117"/>
      <c r="I293" s="117"/>
      <c r="J293" s="118">
        <f t="shared" si="19"/>
        <v>0</v>
      </c>
      <c r="K293" s="117"/>
      <c r="L293" s="117"/>
      <c r="M293" s="118">
        <f t="shared" si="22"/>
        <v>0</v>
      </c>
      <c r="N293" s="117"/>
      <c r="O293" s="117"/>
      <c r="P293" s="118">
        <f t="shared" si="20"/>
        <v>0</v>
      </c>
      <c r="Q293" s="117"/>
      <c r="R293" s="117"/>
      <c r="S293" s="118">
        <f t="shared" si="21"/>
        <v>0</v>
      </c>
    </row>
    <row r="294" spans="8:19" ht="14.25">
      <c r="H294" s="117"/>
      <c r="I294" s="117"/>
      <c r="J294" s="118">
        <f t="shared" si="19"/>
        <v>0</v>
      </c>
      <c r="K294" s="117"/>
      <c r="L294" s="117"/>
      <c r="M294" s="118">
        <f t="shared" si="22"/>
        <v>0</v>
      </c>
      <c r="N294" s="117"/>
      <c r="O294" s="117"/>
      <c r="P294" s="118">
        <f t="shared" si="20"/>
        <v>0</v>
      </c>
      <c r="Q294" s="117"/>
      <c r="R294" s="117"/>
      <c r="S294" s="118">
        <f t="shared" si="21"/>
        <v>0</v>
      </c>
    </row>
    <row r="295" spans="8:19" ht="14.25">
      <c r="H295" s="117"/>
      <c r="I295" s="117"/>
      <c r="J295" s="118">
        <f t="shared" si="19"/>
        <v>0</v>
      </c>
      <c r="K295" s="117"/>
      <c r="L295" s="117"/>
      <c r="M295" s="118">
        <f t="shared" si="22"/>
        <v>0</v>
      </c>
      <c r="N295" s="117"/>
      <c r="O295" s="117"/>
      <c r="P295" s="118">
        <f t="shared" si="20"/>
        <v>0</v>
      </c>
      <c r="Q295" s="117"/>
      <c r="R295" s="117"/>
      <c r="S295" s="118">
        <f t="shared" si="21"/>
        <v>0</v>
      </c>
    </row>
    <row r="296" spans="8:19" ht="14.25">
      <c r="H296" s="117"/>
      <c r="I296" s="117"/>
      <c r="J296" s="118">
        <f t="shared" si="19"/>
        <v>0</v>
      </c>
      <c r="K296" s="117"/>
      <c r="L296" s="117"/>
      <c r="M296" s="118">
        <f t="shared" si="22"/>
        <v>0</v>
      </c>
      <c r="N296" s="117"/>
      <c r="O296" s="117"/>
      <c r="P296" s="118">
        <f t="shared" si="20"/>
        <v>0</v>
      </c>
      <c r="Q296" s="117"/>
      <c r="R296" s="117"/>
      <c r="S296" s="118">
        <f t="shared" si="21"/>
        <v>0</v>
      </c>
    </row>
    <row r="297" spans="8:19" ht="14.25">
      <c r="H297" s="117"/>
      <c r="I297" s="117"/>
      <c r="J297" s="118">
        <f t="shared" si="19"/>
        <v>0</v>
      </c>
      <c r="K297" s="117"/>
      <c r="L297" s="117"/>
      <c r="M297" s="118">
        <f t="shared" si="22"/>
        <v>0</v>
      </c>
      <c r="N297" s="117"/>
      <c r="O297" s="117"/>
      <c r="P297" s="118">
        <f t="shared" si="20"/>
        <v>0</v>
      </c>
      <c r="Q297" s="117"/>
      <c r="R297" s="117"/>
      <c r="S297" s="118">
        <f t="shared" si="21"/>
        <v>0</v>
      </c>
    </row>
    <row r="298" spans="8:19" ht="14.25">
      <c r="H298" s="117"/>
      <c r="I298" s="117"/>
      <c r="J298" s="118">
        <f t="shared" si="19"/>
        <v>0</v>
      </c>
      <c r="K298" s="117"/>
      <c r="L298" s="117"/>
      <c r="M298" s="118">
        <f t="shared" si="22"/>
        <v>0</v>
      </c>
      <c r="N298" s="117"/>
      <c r="O298" s="117"/>
      <c r="P298" s="118">
        <f t="shared" si="20"/>
        <v>0</v>
      </c>
      <c r="Q298" s="117"/>
      <c r="R298" s="117"/>
      <c r="S298" s="118">
        <f t="shared" si="21"/>
        <v>0</v>
      </c>
    </row>
    <row r="299" spans="8:19" ht="14.25">
      <c r="H299" s="117"/>
      <c r="I299" s="117"/>
      <c r="J299" s="118">
        <f t="shared" si="19"/>
        <v>0</v>
      </c>
      <c r="K299" s="117"/>
      <c r="L299" s="117"/>
      <c r="M299" s="118">
        <f t="shared" si="22"/>
        <v>0</v>
      </c>
      <c r="N299" s="117"/>
      <c r="O299" s="117"/>
      <c r="P299" s="118">
        <f t="shared" si="20"/>
        <v>0</v>
      </c>
      <c r="Q299" s="117"/>
      <c r="R299" s="117"/>
      <c r="S299" s="118">
        <f t="shared" si="21"/>
        <v>0</v>
      </c>
    </row>
    <row r="300" spans="8:19" ht="14.25">
      <c r="H300" s="117"/>
      <c r="I300" s="117"/>
      <c r="J300" s="118">
        <f t="shared" si="19"/>
        <v>0</v>
      </c>
      <c r="K300" s="117"/>
      <c r="L300" s="117"/>
      <c r="M300" s="118">
        <f t="shared" si="22"/>
        <v>0</v>
      </c>
      <c r="N300" s="117"/>
      <c r="O300" s="117"/>
      <c r="P300" s="118">
        <f t="shared" si="20"/>
        <v>0</v>
      </c>
      <c r="Q300" s="117"/>
      <c r="R300" s="117"/>
      <c r="S300" s="118">
        <f t="shared" si="21"/>
        <v>0</v>
      </c>
    </row>
    <row r="301" spans="8:19" ht="14.25">
      <c r="H301" s="117"/>
      <c r="I301" s="117"/>
      <c r="J301" s="118">
        <f t="shared" si="19"/>
        <v>0</v>
      </c>
      <c r="K301" s="117"/>
      <c r="L301" s="117"/>
      <c r="M301" s="118">
        <f t="shared" si="22"/>
        <v>0</v>
      </c>
      <c r="N301" s="117"/>
      <c r="O301" s="117"/>
      <c r="P301" s="118">
        <f t="shared" si="20"/>
        <v>0</v>
      </c>
      <c r="Q301" s="117"/>
      <c r="R301" s="117"/>
      <c r="S301" s="118">
        <f t="shared" si="21"/>
        <v>0</v>
      </c>
    </row>
    <row r="302" spans="8:19" ht="14.25">
      <c r="H302" s="117"/>
      <c r="I302" s="117"/>
      <c r="J302" s="118">
        <f t="shared" si="19"/>
        <v>0</v>
      </c>
      <c r="K302" s="117"/>
      <c r="L302" s="117"/>
      <c r="M302" s="118">
        <f t="shared" si="22"/>
        <v>0</v>
      </c>
      <c r="N302" s="117"/>
      <c r="O302" s="117"/>
      <c r="P302" s="118">
        <f t="shared" si="20"/>
        <v>0</v>
      </c>
      <c r="Q302" s="117"/>
      <c r="R302" s="117"/>
      <c r="S302" s="118">
        <f t="shared" si="21"/>
        <v>0</v>
      </c>
    </row>
    <row r="303" spans="8:19" ht="14.25">
      <c r="H303" s="117"/>
      <c r="I303" s="117"/>
      <c r="J303" s="118">
        <f t="shared" si="19"/>
        <v>0</v>
      </c>
      <c r="K303" s="117"/>
      <c r="L303" s="117"/>
      <c r="M303" s="118">
        <f t="shared" si="22"/>
        <v>0</v>
      </c>
      <c r="N303" s="117"/>
      <c r="O303" s="117"/>
      <c r="P303" s="118">
        <f t="shared" si="20"/>
        <v>0</v>
      </c>
      <c r="Q303" s="117"/>
      <c r="R303" s="117"/>
      <c r="S303" s="118">
        <f t="shared" si="21"/>
        <v>0</v>
      </c>
    </row>
    <row r="304" spans="8:19" ht="14.25">
      <c r="H304" s="117"/>
      <c r="I304" s="117"/>
      <c r="J304" s="118">
        <f t="shared" si="19"/>
        <v>0</v>
      </c>
      <c r="K304" s="117"/>
      <c r="L304" s="117"/>
      <c r="M304" s="118">
        <f t="shared" si="22"/>
        <v>0</v>
      </c>
      <c r="N304" s="117"/>
      <c r="O304" s="117"/>
      <c r="P304" s="118">
        <f t="shared" si="20"/>
        <v>0</v>
      </c>
      <c r="Q304" s="117"/>
      <c r="R304" s="117"/>
      <c r="S304" s="118">
        <f t="shared" si="21"/>
        <v>0</v>
      </c>
    </row>
    <row r="305" spans="8:19" ht="14.25">
      <c r="H305" s="117"/>
      <c r="I305" s="117"/>
      <c r="J305" s="118">
        <f t="shared" si="19"/>
        <v>0</v>
      </c>
      <c r="K305" s="117"/>
      <c r="L305" s="117"/>
      <c r="M305" s="118">
        <f t="shared" si="22"/>
        <v>0</v>
      </c>
      <c r="N305" s="117"/>
      <c r="O305" s="117"/>
      <c r="P305" s="118">
        <f t="shared" si="20"/>
        <v>0</v>
      </c>
      <c r="Q305" s="117"/>
      <c r="R305" s="117"/>
      <c r="S305" s="118">
        <f t="shared" si="21"/>
        <v>0</v>
      </c>
    </row>
    <row r="306" spans="8:19" ht="14.25">
      <c r="H306" s="117"/>
      <c r="I306" s="117"/>
      <c r="J306" s="118">
        <f t="shared" si="19"/>
        <v>0</v>
      </c>
      <c r="K306" s="117"/>
      <c r="L306" s="117"/>
      <c r="M306" s="118">
        <f t="shared" si="22"/>
        <v>0</v>
      </c>
      <c r="N306" s="117"/>
      <c r="O306" s="117"/>
      <c r="P306" s="118">
        <f t="shared" si="20"/>
        <v>0</v>
      </c>
      <c r="Q306" s="117"/>
      <c r="R306" s="117"/>
      <c r="S306" s="118">
        <f t="shared" si="21"/>
        <v>0</v>
      </c>
    </row>
    <row r="307" spans="8:19" ht="14.25">
      <c r="H307" s="117"/>
      <c r="I307" s="117"/>
      <c r="J307" s="118">
        <f t="shared" si="19"/>
        <v>0</v>
      </c>
      <c r="K307" s="117"/>
      <c r="L307" s="117"/>
      <c r="M307" s="118">
        <f t="shared" si="22"/>
        <v>0</v>
      </c>
      <c r="N307" s="117"/>
      <c r="O307" s="117"/>
      <c r="P307" s="118">
        <f t="shared" si="20"/>
        <v>0</v>
      </c>
      <c r="Q307" s="117"/>
      <c r="R307" s="117"/>
      <c r="S307" s="118">
        <f t="shared" si="21"/>
        <v>0</v>
      </c>
    </row>
    <row r="308" spans="8:19" ht="14.25">
      <c r="H308" s="117"/>
      <c r="I308" s="117"/>
      <c r="J308" s="118">
        <f t="shared" si="19"/>
        <v>0</v>
      </c>
      <c r="K308" s="117"/>
      <c r="L308" s="117"/>
      <c r="M308" s="118">
        <f t="shared" si="22"/>
        <v>0</v>
      </c>
      <c r="N308" s="117"/>
      <c r="O308" s="117"/>
      <c r="P308" s="118">
        <f t="shared" si="20"/>
        <v>0</v>
      </c>
      <c r="Q308" s="117"/>
      <c r="R308" s="117"/>
      <c r="S308" s="118">
        <f t="shared" si="21"/>
        <v>0</v>
      </c>
    </row>
    <row r="309" spans="8:19" ht="14.25">
      <c r="H309" s="117"/>
      <c r="I309" s="117"/>
      <c r="J309" s="118">
        <f t="shared" si="19"/>
        <v>0</v>
      </c>
      <c r="K309" s="117"/>
      <c r="L309" s="117"/>
      <c r="M309" s="118">
        <f t="shared" si="22"/>
        <v>0</v>
      </c>
      <c r="N309" s="117"/>
      <c r="O309" s="117"/>
      <c r="P309" s="118">
        <f t="shared" si="20"/>
        <v>0</v>
      </c>
      <c r="Q309" s="117"/>
      <c r="R309" s="117"/>
      <c r="S309" s="118">
        <f t="shared" si="21"/>
        <v>0</v>
      </c>
    </row>
    <row r="310" spans="8:19" ht="14.25">
      <c r="H310" s="117"/>
      <c r="I310" s="117"/>
      <c r="J310" s="118">
        <f t="shared" si="19"/>
        <v>0</v>
      </c>
      <c r="K310" s="117"/>
      <c r="L310" s="117"/>
      <c r="M310" s="118">
        <f t="shared" si="22"/>
        <v>0</v>
      </c>
      <c r="N310" s="117"/>
      <c r="O310" s="117"/>
      <c r="P310" s="118">
        <f t="shared" si="20"/>
        <v>0</v>
      </c>
      <c r="Q310" s="117"/>
      <c r="R310" s="117"/>
      <c r="S310" s="118">
        <f t="shared" si="21"/>
        <v>0</v>
      </c>
    </row>
    <row r="311" spans="8:19" ht="14.25">
      <c r="H311" s="117"/>
      <c r="I311" s="117"/>
      <c r="J311" s="118">
        <f t="shared" si="19"/>
        <v>0</v>
      </c>
      <c r="K311" s="117"/>
      <c r="L311" s="117"/>
      <c r="M311" s="118">
        <f t="shared" si="22"/>
        <v>0</v>
      </c>
      <c r="N311" s="117"/>
      <c r="O311" s="117"/>
      <c r="P311" s="118">
        <f t="shared" si="20"/>
        <v>0</v>
      </c>
      <c r="Q311" s="117"/>
      <c r="R311" s="117"/>
      <c r="S311" s="118">
        <f t="shared" si="21"/>
        <v>0</v>
      </c>
    </row>
    <row r="312" spans="8:19" ht="14.25">
      <c r="H312" s="117"/>
      <c r="I312" s="117"/>
      <c r="J312" s="118">
        <f t="shared" si="19"/>
        <v>0</v>
      </c>
      <c r="K312" s="117"/>
      <c r="L312" s="117"/>
      <c r="M312" s="118">
        <f t="shared" si="22"/>
        <v>0</v>
      </c>
      <c r="N312" s="117"/>
      <c r="O312" s="117"/>
      <c r="P312" s="118">
        <f t="shared" si="20"/>
        <v>0</v>
      </c>
      <c r="Q312" s="117"/>
      <c r="R312" s="117"/>
      <c r="S312" s="118">
        <f t="shared" si="21"/>
        <v>0</v>
      </c>
    </row>
    <row r="313" spans="8:19" ht="14.25">
      <c r="H313" s="117"/>
      <c r="I313" s="117"/>
      <c r="J313" s="118">
        <f t="shared" si="19"/>
        <v>0</v>
      </c>
      <c r="K313" s="117"/>
      <c r="L313" s="117"/>
      <c r="M313" s="118">
        <f t="shared" si="22"/>
        <v>0</v>
      </c>
      <c r="N313" s="117"/>
      <c r="O313" s="117"/>
      <c r="P313" s="118">
        <f t="shared" si="20"/>
        <v>0</v>
      </c>
      <c r="Q313" s="117"/>
      <c r="R313" s="117"/>
      <c r="S313" s="118">
        <f t="shared" si="21"/>
        <v>0</v>
      </c>
    </row>
    <row r="314" spans="8:19" ht="14.25">
      <c r="H314" s="117"/>
      <c r="I314" s="117"/>
      <c r="J314" s="118">
        <f t="shared" si="19"/>
        <v>0</v>
      </c>
      <c r="K314" s="117"/>
      <c r="L314" s="117"/>
      <c r="M314" s="118">
        <f t="shared" si="22"/>
        <v>0</v>
      </c>
      <c r="N314" s="117"/>
      <c r="O314" s="117"/>
      <c r="P314" s="118">
        <f t="shared" si="20"/>
        <v>0</v>
      </c>
      <c r="Q314" s="117"/>
      <c r="R314" s="117"/>
      <c r="S314" s="118">
        <f t="shared" si="21"/>
        <v>0</v>
      </c>
    </row>
    <row r="315" spans="8:19" ht="14.25">
      <c r="H315" s="117"/>
      <c r="I315" s="117"/>
      <c r="J315" s="118">
        <f t="shared" si="19"/>
        <v>0</v>
      </c>
      <c r="K315" s="117"/>
      <c r="L315" s="117"/>
      <c r="M315" s="118">
        <f t="shared" si="22"/>
        <v>0</v>
      </c>
      <c r="N315" s="117"/>
      <c r="O315" s="117"/>
      <c r="P315" s="118">
        <f t="shared" si="20"/>
        <v>0</v>
      </c>
      <c r="Q315" s="117"/>
      <c r="R315" s="117"/>
      <c r="S315" s="118">
        <f t="shared" si="21"/>
        <v>0</v>
      </c>
    </row>
    <row r="316" spans="8:19" ht="14.25">
      <c r="H316" s="117"/>
      <c r="I316" s="117"/>
      <c r="J316" s="118">
        <f t="shared" si="19"/>
        <v>0</v>
      </c>
      <c r="K316" s="117"/>
      <c r="L316" s="117"/>
      <c r="M316" s="118">
        <f t="shared" si="22"/>
        <v>0</v>
      </c>
      <c r="N316" s="117"/>
      <c r="O316" s="117"/>
      <c r="P316" s="118">
        <f t="shared" si="20"/>
        <v>0</v>
      </c>
      <c r="Q316" s="117"/>
      <c r="R316" s="117"/>
      <c r="S316" s="118">
        <f t="shared" si="21"/>
        <v>0</v>
      </c>
    </row>
    <row r="317" spans="8:19" ht="14.25">
      <c r="H317" s="117"/>
      <c r="I317" s="117"/>
      <c r="J317" s="118">
        <f t="shared" si="19"/>
        <v>0</v>
      </c>
      <c r="K317" s="117"/>
      <c r="L317" s="117"/>
      <c r="M317" s="118">
        <f t="shared" si="22"/>
        <v>0</v>
      </c>
      <c r="N317" s="117"/>
      <c r="O317" s="117"/>
      <c r="P317" s="118">
        <f t="shared" si="20"/>
        <v>0</v>
      </c>
      <c r="Q317" s="117"/>
      <c r="R317" s="117"/>
      <c r="S317" s="118">
        <f t="shared" si="21"/>
        <v>0</v>
      </c>
    </row>
    <row r="318" spans="8:19" ht="14.25">
      <c r="H318" s="117"/>
      <c r="I318" s="117"/>
      <c r="J318" s="118">
        <f t="shared" si="19"/>
        <v>0</v>
      </c>
      <c r="K318" s="117"/>
      <c r="L318" s="117"/>
      <c r="M318" s="118">
        <f t="shared" si="22"/>
        <v>0</v>
      </c>
      <c r="N318" s="117"/>
      <c r="O318" s="117"/>
      <c r="P318" s="118">
        <f t="shared" si="20"/>
        <v>0</v>
      </c>
      <c r="Q318" s="117"/>
      <c r="R318" s="117"/>
      <c r="S318" s="118">
        <f t="shared" si="21"/>
        <v>0</v>
      </c>
    </row>
    <row r="319" spans="8:19" ht="14.25">
      <c r="H319" s="117"/>
      <c r="I319" s="117"/>
      <c r="J319" s="118">
        <f t="shared" si="19"/>
        <v>0</v>
      </c>
      <c r="K319" s="117"/>
      <c r="L319" s="117"/>
      <c r="M319" s="118">
        <f t="shared" si="22"/>
        <v>0</v>
      </c>
      <c r="N319" s="117"/>
      <c r="O319" s="117"/>
      <c r="P319" s="118">
        <f t="shared" si="20"/>
        <v>0</v>
      </c>
      <c r="Q319" s="117"/>
      <c r="R319" s="117"/>
      <c r="S319" s="118">
        <f t="shared" si="21"/>
        <v>0</v>
      </c>
    </row>
    <row r="320" spans="8:19" ht="14.25">
      <c r="H320" s="117"/>
      <c r="I320" s="117"/>
      <c r="J320" s="118">
        <f t="shared" si="19"/>
        <v>0</v>
      </c>
      <c r="K320" s="117"/>
      <c r="L320" s="117"/>
      <c r="M320" s="118">
        <f t="shared" si="22"/>
        <v>0</v>
      </c>
      <c r="N320" s="117"/>
      <c r="O320" s="117"/>
      <c r="P320" s="118">
        <f t="shared" si="20"/>
        <v>0</v>
      </c>
      <c r="Q320" s="117"/>
      <c r="R320" s="117"/>
      <c r="S320" s="118">
        <f t="shared" si="21"/>
        <v>0</v>
      </c>
    </row>
    <row r="321" spans="8:19" ht="14.25">
      <c r="H321" s="117"/>
      <c r="I321" s="117"/>
      <c r="J321" s="118">
        <f t="shared" si="19"/>
        <v>0</v>
      </c>
      <c r="K321" s="117"/>
      <c r="L321" s="117"/>
      <c r="M321" s="118">
        <f t="shared" si="22"/>
        <v>0</v>
      </c>
      <c r="N321" s="117"/>
      <c r="O321" s="117"/>
      <c r="P321" s="118">
        <f t="shared" si="20"/>
        <v>0</v>
      </c>
      <c r="Q321" s="117"/>
      <c r="R321" s="117"/>
      <c r="S321" s="118">
        <f t="shared" si="21"/>
        <v>0</v>
      </c>
    </row>
    <row r="322" spans="8:19" ht="14.25">
      <c r="H322" s="117"/>
      <c r="I322" s="117"/>
      <c r="J322" s="118">
        <f t="shared" si="19"/>
        <v>0</v>
      </c>
      <c r="K322" s="117"/>
      <c r="L322" s="117"/>
      <c r="M322" s="118">
        <f t="shared" si="22"/>
        <v>0</v>
      </c>
      <c r="N322" s="117"/>
      <c r="O322" s="117"/>
      <c r="P322" s="118">
        <f t="shared" si="20"/>
        <v>0</v>
      </c>
      <c r="Q322" s="117"/>
      <c r="R322" s="117"/>
      <c r="S322" s="118">
        <f t="shared" si="21"/>
        <v>0</v>
      </c>
    </row>
    <row r="323" spans="8:19" ht="14.25">
      <c r="H323" s="117"/>
      <c r="I323" s="117"/>
      <c r="J323" s="118">
        <f t="shared" si="19"/>
        <v>0</v>
      </c>
      <c r="K323" s="117"/>
      <c r="L323" s="117"/>
      <c r="M323" s="118">
        <f t="shared" si="22"/>
        <v>0</v>
      </c>
      <c r="N323" s="117"/>
      <c r="O323" s="117"/>
      <c r="P323" s="118">
        <f t="shared" si="20"/>
        <v>0</v>
      </c>
      <c r="Q323" s="117"/>
      <c r="R323" s="117"/>
      <c r="S323" s="118">
        <f t="shared" si="21"/>
        <v>0</v>
      </c>
    </row>
    <row r="324" spans="8:19" ht="14.25">
      <c r="H324" s="117"/>
      <c r="I324" s="117"/>
      <c r="J324" s="118">
        <f t="shared" si="19"/>
        <v>0</v>
      </c>
      <c r="K324" s="117"/>
      <c r="L324" s="117"/>
      <c r="M324" s="118">
        <f t="shared" si="22"/>
        <v>0</v>
      </c>
      <c r="N324" s="117"/>
      <c r="O324" s="117"/>
      <c r="P324" s="118">
        <f t="shared" si="20"/>
        <v>0</v>
      </c>
      <c r="Q324" s="117"/>
      <c r="R324" s="117"/>
      <c r="S324" s="118">
        <f t="shared" si="21"/>
        <v>0</v>
      </c>
    </row>
    <row r="325" spans="8:19" ht="14.25">
      <c r="H325" s="117"/>
      <c r="I325" s="117"/>
      <c r="J325" s="118">
        <f t="shared" ref="J325:J388" si="23">H325*I325</f>
        <v>0</v>
      </c>
      <c r="K325" s="117"/>
      <c r="L325" s="117"/>
      <c r="M325" s="118">
        <f t="shared" si="22"/>
        <v>0</v>
      </c>
      <c r="N325" s="117"/>
      <c r="O325" s="117"/>
      <c r="P325" s="118">
        <f t="shared" si="20"/>
        <v>0</v>
      </c>
      <c r="Q325" s="117"/>
      <c r="R325" s="117"/>
      <c r="S325" s="118">
        <f t="shared" si="21"/>
        <v>0</v>
      </c>
    </row>
    <row r="326" spans="8:19" ht="14.25">
      <c r="H326" s="117"/>
      <c r="I326" s="117"/>
      <c r="J326" s="118">
        <f t="shared" si="23"/>
        <v>0</v>
      </c>
      <c r="K326" s="117"/>
      <c r="L326" s="117"/>
      <c r="M326" s="118">
        <f t="shared" si="22"/>
        <v>0</v>
      </c>
      <c r="N326" s="117"/>
      <c r="O326" s="117"/>
      <c r="P326" s="118">
        <f t="shared" si="20"/>
        <v>0</v>
      </c>
      <c r="Q326" s="117"/>
      <c r="R326" s="117"/>
      <c r="S326" s="118">
        <f t="shared" si="21"/>
        <v>0</v>
      </c>
    </row>
    <row r="327" spans="8:19" ht="14.25">
      <c r="H327" s="117"/>
      <c r="I327" s="117"/>
      <c r="J327" s="118">
        <f t="shared" si="23"/>
        <v>0</v>
      </c>
      <c r="K327" s="117"/>
      <c r="L327" s="117"/>
      <c r="M327" s="118">
        <f t="shared" si="22"/>
        <v>0</v>
      </c>
      <c r="N327" s="117"/>
      <c r="O327" s="117"/>
      <c r="P327" s="118">
        <f t="shared" si="20"/>
        <v>0</v>
      </c>
      <c r="Q327" s="117"/>
      <c r="R327" s="117"/>
      <c r="S327" s="118">
        <f t="shared" si="21"/>
        <v>0</v>
      </c>
    </row>
    <row r="328" spans="8:19" ht="14.25">
      <c r="H328" s="117"/>
      <c r="I328" s="117"/>
      <c r="J328" s="118">
        <f t="shared" si="23"/>
        <v>0</v>
      </c>
      <c r="K328" s="117"/>
      <c r="L328" s="117"/>
      <c r="M328" s="118">
        <f t="shared" si="22"/>
        <v>0</v>
      </c>
      <c r="N328" s="117"/>
      <c r="O328" s="117"/>
      <c r="P328" s="118">
        <f t="shared" si="20"/>
        <v>0</v>
      </c>
      <c r="Q328" s="117"/>
      <c r="R328" s="117"/>
      <c r="S328" s="118">
        <f t="shared" si="21"/>
        <v>0</v>
      </c>
    </row>
    <row r="329" spans="8:19" ht="14.25">
      <c r="H329" s="117"/>
      <c r="I329" s="117"/>
      <c r="J329" s="118">
        <f t="shared" si="23"/>
        <v>0</v>
      </c>
      <c r="K329" s="117"/>
      <c r="L329" s="117"/>
      <c r="M329" s="118">
        <f t="shared" si="22"/>
        <v>0</v>
      </c>
      <c r="N329" s="117"/>
      <c r="O329" s="117"/>
      <c r="P329" s="118">
        <f t="shared" si="20"/>
        <v>0</v>
      </c>
      <c r="Q329" s="117"/>
      <c r="R329" s="117"/>
      <c r="S329" s="118">
        <f t="shared" si="21"/>
        <v>0</v>
      </c>
    </row>
    <row r="330" spans="8:19" ht="14.25">
      <c r="H330" s="117"/>
      <c r="I330" s="117"/>
      <c r="J330" s="118">
        <f t="shared" si="23"/>
        <v>0</v>
      </c>
      <c r="K330" s="117"/>
      <c r="L330" s="117"/>
      <c r="M330" s="118">
        <f t="shared" si="22"/>
        <v>0</v>
      </c>
      <c r="N330" s="117"/>
      <c r="O330" s="117"/>
      <c r="P330" s="118">
        <f t="shared" si="20"/>
        <v>0</v>
      </c>
      <c r="Q330" s="117"/>
      <c r="R330" s="117"/>
      <c r="S330" s="118">
        <f t="shared" si="21"/>
        <v>0</v>
      </c>
    </row>
    <row r="331" spans="8:19" ht="14.25">
      <c r="H331" s="117"/>
      <c r="I331" s="117"/>
      <c r="J331" s="118">
        <f t="shared" si="23"/>
        <v>0</v>
      </c>
      <c r="K331" s="117"/>
      <c r="L331" s="117"/>
      <c r="M331" s="118">
        <f t="shared" si="22"/>
        <v>0</v>
      </c>
      <c r="N331" s="117"/>
      <c r="O331" s="117"/>
      <c r="P331" s="118">
        <f t="shared" si="20"/>
        <v>0</v>
      </c>
      <c r="Q331" s="117"/>
      <c r="R331" s="117"/>
      <c r="S331" s="118">
        <f t="shared" si="21"/>
        <v>0</v>
      </c>
    </row>
    <row r="332" spans="8:19" ht="14.25">
      <c r="H332" s="117"/>
      <c r="I332" s="117"/>
      <c r="J332" s="118">
        <f t="shared" si="23"/>
        <v>0</v>
      </c>
      <c r="K332" s="117"/>
      <c r="L332" s="117"/>
      <c r="M332" s="118">
        <f t="shared" si="22"/>
        <v>0</v>
      </c>
      <c r="N332" s="117"/>
      <c r="O332" s="117"/>
      <c r="P332" s="118">
        <f t="shared" si="20"/>
        <v>0</v>
      </c>
      <c r="Q332" s="117"/>
      <c r="R332" s="117"/>
      <c r="S332" s="118">
        <f t="shared" si="21"/>
        <v>0</v>
      </c>
    </row>
    <row r="333" spans="8:19" ht="14.25">
      <c r="H333" s="117"/>
      <c r="I333" s="117"/>
      <c r="J333" s="118">
        <f t="shared" si="23"/>
        <v>0</v>
      </c>
      <c r="K333" s="117"/>
      <c r="L333" s="117"/>
      <c r="M333" s="118">
        <f t="shared" si="22"/>
        <v>0</v>
      </c>
      <c r="N333" s="117"/>
      <c r="O333" s="117"/>
      <c r="P333" s="118">
        <f t="shared" ref="P333:P396" si="24">N333*O333</f>
        <v>0</v>
      </c>
      <c r="Q333" s="117"/>
      <c r="R333" s="117"/>
      <c r="S333" s="118">
        <f t="shared" si="21"/>
        <v>0</v>
      </c>
    </row>
    <row r="334" spans="8:19" ht="14.25">
      <c r="H334" s="117"/>
      <c r="I334" s="117"/>
      <c r="J334" s="118">
        <f t="shared" si="23"/>
        <v>0</v>
      </c>
      <c r="K334" s="117"/>
      <c r="L334" s="117"/>
      <c r="M334" s="118">
        <f t="shared" si="22"/>
        <v>0</v>
      </c>
      <c r="N334" s="117"/>
      <c r="O334" s="117"/>
      <c r="P334" s="118">
        <f t="shared" si="24"/>
        <v>0</v>
      </c>
      <c r="Q334" s="117"/>
      <c r="R334" s="117"/>
      <c r="S334" s="118">
        <f t="shared" ref="S334:S397" si="25">Q334*R334</f>
        <v>0</v>
      </c>
    </row>
    <row r="335" spans="8:19" ht="14.25">
      <c r="H335" s="117"/>
      <c r="I335" s="117"/>
      <c r="J335" s="118">
        <f t="shared" si="23"/>
        <v>0</v>
      </c>
      <c r="K335" s="117"/>
      <c r="L335" s="117"/>
      <c r="M335" s="118">
        <f t="shared" ref="M335:M398" si="26">K335*L335</f>
        <v>0</v>
      </c>
      <c r="N335" s="117"/>
      <c r="O335" s="117"/>
      <c r="P335" s="118">
        <f t="shared" si="24"/>
        <v>0</v>
      </c>
      <c r="Q335" s="117"/>
      <c r="R335" s="117"/>
      <c r="S335" s="118">
        <f t="shared" si="25"/>
        <v>0</v>
      </c>
    </row>
    <row r="336" spans="8:19" ht="14.25">
      <c r="H336" s="117"/>
      <c r="I336" s="117"/>
      <c r="J336" s="118">
        <f t="shared" si="23"/>
        <v>0</v>
      </c>
      <c r="K336" s="117"/>
      <c r="L336" s="117"/>
      <c r="M336" s="118">
        <f t="shared" si="26"/>
        <v>0</v>
      </c>
      <c r="N336" s="117"/>
      <c r="O336" s="117"/>
      <c r="P336" s="118">
        <f t="shared" si="24"/>
        <v>0</v>
      </c>
      <c r="Q336" s="117"/>
      <c r="R336" s="117"/>
      <c r="S336" s="118">
        <f t="shared" si="25"/>
        <v>0</v>
      </c>
    </row>
    <row r="337" spans="8:19" ht="14.25">
      <c r="H337" s="117"/>
      <c r="I337" s="117"/>
      <c r="J337" s="118">
        <f t="shared" si="23"/>
        <v>0</v>
      </c>
      <c r="K337" s="117"/>
      <c r="L337" s="117"/>
      <c r="M337" s="118">
        <f t="shared" si="26"/>
        <v>0</v>
      </c>
      <c r="N337" s="117"/>
      <c r="O337" s="117"/>
      <c r="P337" s="118">
        <f t="shared" si="24"/>
        <v>0</v>
      </c>
      <c r="Q337" s="117"/>
      <c r="R337" s="117"/>
      <c r="S337" s="118">
        <f t="shared" si="25"/>
        <v>0</v>
      </c>
    </row>
    <row r="338" spans="8:19" ht="14.25">
      <c r="H338" s="117"/>
      <c r="I338" s="117"/>
      <c r="J338" s="118">
        <f t="shared" si="23"/>
        <v>0</v>
      </c>
      <c r="K338" s="117"/>
      <c r="L338" s="117"/>
      <c r="M338" s="118">
        <f t="shared" si="26"/>
        <v>0</v>
      </c>
      <c r="N338" s="117"/>
      <c r="O338" s="117"/>
      <c r="P338" s="118">
        <f t="shared" si="24"/>
        <v>0</v>
      </c>
      <c r="Q338" s="117"/>
      <c r="R338" s="117"/>
      <c r="S338" s="118">
        <f t="shared" si="25"/>
        <v>0</v>
      </c>
    </row>
    <row r="339" spans="8:19" ht="14.25">
      <c r="H339" s="117"/>
      <c r="I339" s="117"/>
      <c r="J339" s="118">
        <f t="shared" si="23"/>
        <v>0</v>
      </c>
      <c r="K339" s="117"/>
      <c r="L339" s="117"/>
      <c r="M339" s="118">
        <f t="shared" si="26"/>
        <v>0</v>
      </c>
      <c r="N339" s="117"/>
      <c r="O339" s="117"/>
      <c r="P339" s="118">
        <f t="shared" si="24"/>
        <v>0</v>
      </c>
      <c r="Q339" s="117"/>
      <c r="R339" s="117"/>
      <c r="S339" s="118">
        <f t="shared" si="25"/>
        <v>0</v>
      </c>
    </row>
    <row r="340" spans="8:19" ht="14.25">
      <c r="H340" s="117"/>
      <c r="I340" s="117"/>
      <c r="J340" s="118">
        <f t="shared" si="23"/>
        <v>0</v>
      </c>
      <c r="K340" s="117"/>
      <c r="L340" s="117"/>
      <c r="M340" s="118">
        <f t="shared" si="26"/>
        <v>0</v>
      </c>
      <c r="N340" s="117"/>
      <c r="O340" s="117"/>
      <c r="P340" s="118">
        <f t="shared" si="24"/>
        <v>0</v>
      </c>
      <c r="Q340" s="117"/>
      <c r="R340" s="117"/>
      <c r="S340" s="118">
        <f t="shared" si="25"/>
        <v>0</v>
      </c>
    </row>
    <row r="341" spans="8:19" ht="14.25">
      <c r="H341" s="117"/>
      <c r="I341" s="117"/>
      <c r="J341" s="118">
        <f t="shared" si="23"/>
        <v>0</v>
      </c>
      <c r="K341" s="117"/>
      <c r="L341" s="117"/>
      <c r="M341" s="118">
        <f t="shared" si="26"/>
        <v>0</v>
      </c>
      <c r="N341" s="117"/>
      <c r="O341" s="117"/>
      <c r="P341" s="118">
        <f t="shared" si="24"/>
        <v>0</v>
      </c>
      <c r="Q341" s="117"/>
      <c r="R341" s="117"/>
      <c r="S341" s="118">
        <f t="shared" si="25"/>
        <v>0</v>
      </c>
    </row>
    <row r="342" spans="8:19" ht="14.25">
      <c r="H342" s="117"/>
      <c r="I342" s="117"/>
      <c r="J342" s="118">
        <f t="shared" si="23"/>
        <v>0</v>
      </c>
      <c r="K342" s="117"/>
      <c r="L342" s="117"/>
      <c r="M342" s="118">
        <f t="shared" si="26"/>
        <v>0</v>
      </c>
      <c r="N342" s="117"/>
      <c r="O342" s="117"/>
      <c r="P342" s="118">
        <f t="shared" si="24"/>
        <v>0</v>
      </c>
      <c r="Q342" s="117"/>
      <c r="R342" s="117"/>
      <c r="S342" s="118">
        <f t="shared" si="25"/>
        <v>0</v>
      </c>
    </row>
    <row r="343" spans="8:19" ht="14.25">
      <c r="H343" s="117"/>
      <c r="I343" s="117"/>
      <c r="J343" s="118">
        <f t="shared" si="23"/>
        <v>0</v>
      </c>
      <c r="K343" s="117"/>
      <c r="L343" s="117"/>
      <c r="M343" s="118">
        <f t="shared" si="26"/>
        <v>0</v>
      </c>
      <c r="N343" s="117"/>
      <c r="O343" s="117"/>
      <c r="P343" s="118">
        <f t="shared" si="24"/>
        <v>0</v>
      </c>
      <c r="Q343" s="117"/>
      <c r="R343" s="117"/>
      <c r="S343" s="118">
        <f t="shared" si="25"/>
        <v>0</v>
      </c>
    </row>
    <row r="344" spans="8:19" ht="14.25">
      <c r="H344" s="117"/>
      <c r="I344" s="117"/>
      <c r="J344" s="118">
        <f t="shared" si="23"/>
        <v>0</v>
      </c>
      <c r="K344" s="117"/>
      <c r="L344" s="117"/>
      <c r="M344" s="118">
        <f t="shared" si="26"/>
        <v>0</v>
      </c>
      <c r="N344" s="117"/>
      <c r="O344" s="117"/>
      <c r="P344" s="118">
        <f t="shared" si="24"/>
        <v>0</v>
      </c>
      <c r="Q344" s="117"/>
      <c r="R344" s="117"/>
      <c r="S344" s="118">
        <f t="shared" si="25"/>
        <v>0</v>
      </c>
    </row>
    <row r="345" spans="8:19" ht="14.25">
      <c r="H345" s="117"/>
      <c r="I345" s="117"/>
      <c r="J345" s="118">
        <f t="shared" si="23"/>
        <v>0</v>
      </c>
      <c r="K345" s="117"/>
      <c r="L345" s="117"/>
      <c r="M345" s="118">
        <f t="shared" si="26"/>
        <v>0</v>
      </c>
      <c r="N345" s="117"/>
      <c r="O345" s="117"/>
      <c r="P345" s="118">
        <f t="shared" si="24"/>
        <v>0</v>
      </c>
      <c r="Q345" s="117"/>
      <c r="R345" s="117"/>
      <c r="S345" s="118">
        <f t="shared" si="25"/>
        <v>0</v>
      </c>
    </row>
    <row r="346" spans="8:19" ht="14.25">
      <c r="H346" s="117"/>
      <c r="I346" s="117"/>
      <c r="J346" s="118">
        <f t="shared" si="23"/>
        <v>0</v>
      </c>
      <c r="K346" s="117"/>
      <c r="L346" s="117"/>
      <c r="M346" s="118">
        <f t="shared" si="26"/>
        <v>0</v>
      </c>
      <c r="N346" s="117"/>
      <c r="O346" s="117"/>
      <c r="P346" s="118">
        <f t="shared" si="24"/>
        <v>0</v>
      </c>
      <c r="Q346" s="117"/>
      <c r="R346" s="117"/>
      <c r="S346" s="118">
        <f t="shared" si="25"/>
        <v>0</v>
      </c>
    </row>
    <row r="347" spans="8:19" ht="14.25">
      <c r="H347" s="117"/>
      <c r="I347" s="117"/>
      <c r="J347" s="118">
        <f t="shared" si="23"/>
        <v>0</v>
      </c>
      <c r="K347" s="117"/>
      <c r="L347" s="117"/>
      <c r="M347" s="118">
        <f t="shared" si="26"/>
        <v>0</v>
      </c>
      <c r="N347" s="117"/>
      <c r="O347" s="117"/>
      <c r="P347" s="118">
        <f t="shared" si="24"/>
        <v>0</v>
      </c>
      <c r="Q347" s="117"/>
      <c r="R347" s="117"/>
      <c r="S347" s="118">
        <f t="shared" si="25"/>
        <v>0</v>
      </c>
    </row>
    <row r="348" spans="8:19" ht="14.25">
      <c r="H348" s="117"/>
      <c r="I348" s="117"/>
      <c r="J348" s="118">
        <f t="shared" si="23"/>
        <v>0</v>
      </c>
      <c r="K348" s="117"/>
      <c r="L348" s="117"/>
      <c r="M348" s="118">
        <f t="shared" si="26"/>
        <v>0</v>
      </c>
      <c r="N348" s="117"/>
      <c r="O348" s="117"/>
      <c r="P348" s="118">
        <f t="shared" si="24"/>
        <v>0</v>
      </c>
      <c r="Q348" s="117"/>
      <c r="R348" s="117"/>
      <c r="S348" s="118">
        <f t="shared" si="25"/>
        <v>0</v>
      </c>
    </row>
    <row r="349" spans="8:19" ht="14.25">
      <c r="H349" s="117"/>
      <c r="I349" s="117"/>
      <c r="J349" s="118">
        <f t="shared" si="23"/>
        <v>0</v>
      </c>
      <c r="K349" s="117"/>
      <c r="L349" s="117"/>
      <c r="M349" s="118">
        <f t="shared" si="26"/>
        <v>0</v>
      </c>
      <c r="N349" s="117"/>
      <c r="O349" s="117"/>
      <c r="P349" s="118">
        <f t="shared" si="24"/>
        <v>0</v>
      </c>
      <c r="Q349" s="117"/>
      <c r="R349" s="117"/>
      <c r="S349" s="118">
        <f t="shared" si="25"/>
        <v>0</v>
      </c>
    </row>
    <row r="350" spans="8:19" ht="14.25">
      <c r="H350" s="117"/>
      <c r="I350" s="117"/>
      <c r="J350" s="118">
        <f t="shared" si="23"/>
        <v>0</v>
      </c>
      <c r="K350" s="117"/>
      <c r="L350" s="117"/>
      <c r="M350" s="118">
        <f t="shared" si="26"/>
        <v>0</v>
      </c>
      <c r="N350" s="117"/>
      <c r="O350" s="117"/>
      <c r="P350" s="118">
        <f t="shared" si="24"/>
        <v>0</v>
      </c>
      <c r="Q350" s="117"/>
      <c r="R350" s="117"/>
      <c r="S350" s="118">
        <f t="shared" si="25"/>
        <v>0</v>
      </c>
    </row>
    <row r="351" spans="8:19" ht="14.25">
      <c r="H351" s="117"/>
      <c r="I351" s="117"/>
      <c r="J351" s="118">
        <f t="shared" si="23"/>
        <v>0</v>
      </c>
      <c r="K351" s="117"/>
      <c r="L351" s="117"/>
      <c r="M351" s="118">
        <f t="shared" si="26"/>
        <v>0</v>
      </c>
      <c r="N351" s="117"/>
      <c r="O351" s="117"/>
      <c r="P351" s="118">
        <f t="shared" si="24"/>
        <v>0</v>
      </c>
      <c r="Q351" s="117"/>
      <c r="R351" s="117"/>
      <c r="S351" s="118">
        <f t="shared" si="25"/>
        <v>0</v>
      </c>
    </row>
    <row r="352" spans="8:19" ht="14.25">
      <c r="H352" s="117"/>
      <c r="I352" s="117"/>
      <c r="J352" s="118">
        <f t="shared" si="23"/>
        <v>0</v>
      </c>
      <c r="K352" s="117"/>
      <c r="L352" s="117"/>
      <c r="M352" s="118">
        <f t="shared" si="26"/>
        <v>0</v>
      </c>
      <c r="N352" s="117"/>
      <c r="O352" s="117"/>
      <c r="P352" s="118">
        <f t="shared" si="24"/>
        <v>0</v>
      </c>
      <c r="Q352" s="117"/>
      <c r="R352" s="117"/>
      <c r="S352" s="118">
        <f t="shared" si="25"/>
        <v>0</v>
      </c>
    </row>
    <row r="353" spans="8:19" ht="14.25">
      <c r="H353" s="117"/>
      <c r="I353" s="117"/>
      <c r="J353" s="118">
        <f t="shared" si="23"/>
        <v>0</v>
      </c>
      <c r="K353" s="117"/>
      <c r="L353" s="117"/>
      <c r="M353" s="118">
        <f t="shared" si="26"/>
        <v>0</v>
      </c>
      <c r="N353" s="117"/>
      <c r="O353" s="117"/>
      <c r="P353" s="118">
        <f t="shared" si="24"/>
        <v>0</v>
      </c>
      <c r="Q353" s="117"/>
      <c r="R353" s="117"/>
      <c r="S353" s="118">
        <f t="shared" si="25"/>
        <v>0</v>
      </c>
    </row>
    <row r="354" spans="8:19" ht="14.25">
      <c r="H354" s="117"/>
      <c r="I354" s="117"/>
      <c r="J354" s="118">
        <f t="shared" si="23"/>
        <v>0</v>
      </c>
      <c r="K354" s="117"/>
      <c r="L354" s="117"/>
      <c r="M354" s="118">
        <f t="shared" si="26"/>
        <v>0</v>
      </c>
      <c r="N354" s="117"/>
      <c r="O354" s="117"/>
      <c r="P354" s="118">
        <f t="shared" si="24"/>
        <v>0</v>
      </c>
      <c r="Q354" s="117"/>
      <c r="R354" s="117"/>
      <c r="S354" s="118">
        <f t="shared" si="25"/>
        <v>0</v>
      </c>
    </row>
    <row r="355" spans="8:19" ht="14.25">
      <c r="H355" s="117"/>
      <c r="I355" s="117"/>
      <c r="J355" s="118">
        <f t="shared" si="23"/>
        <v>0</v>
      </c>
      <c r="K355" s="117"/>
      <c r="L355" s="117"/>
      <c r="M355" s="118">
        <f t="shared" si="26"/>
        <v>0</v>
      </c>
      <c r="N355" s="117"/>
      <c r="O355" s="117"/>
      <c r="P355" s="118">
        <f t="shared" si="24"/>
        <v>0</v>
      </c>
      <c r="Q355" s="117"/>
      <c r="R355" s="117"/>
      <c r="S355" s="118">
        <f t="shared" si="25"/>
        <v>0</v>
      </c>
    </row>
    <row r="356" spans="8:19" ht="14.25">
      <c r="H356" s="117"/>
      <c r="I356" s="117"/>
      <c r="J356" s="118">
        <f t="shared" si="23"/>
        <v>0</v>
      </c>
      <c r="K356" s="117"/>
      <c r="L356" s="117"/>
      <c r="M356" s="118">
        <f t="shared" si="26"/>
        <v>0</v>
      </c>
      <c r="N356" s="117"/>
      <c r="O356" s="117"/>
      <c r="P356" s="118">
        <f t="shared" si="24"/>
        <v>0</v>
      </c>
      <c r="Q356" s="117"/>
      <c r="R356" s="117"/>
      <c r="S356" s="118">
        <f t="shared" si="25"/>
        <v>0</v>
      </c>
    </row>
    <row r="357" spans="8:19" ht="14.25">
      <c r="H357" s="117"/>
      <c r="I357" s="117"/>
      <c r="J357" s="118">
        <f t="shared" si="23"/>
        <v>0</v>
      </c>
      <c r="K357" s="117"/>
      <c r="L357" s="117"/>
      <c r="M357" s="118">
        <f t="shared" si="26"/>
        <v>0</v>
      </c>
      <c r="N357" s="117"/>
      <c r="O357" s="117"/>
      <c r="P357" s="118">
        <f t="shared" si="24"/>
        <v>0</v>
      </c>
      <c r="Q357" s="117"/>
      <c r="R357" s="117"/>
      <c r="S357" s="118">
        <f t="shared" si="25"/>
        <v>0</v>
      </c>
    </row>
    <row r="358" spans="8:19" ht="14.25">
      <c r="H358" s="117"/>
      <c r="I358" s="117"/>
      <c r="J358" s="118">
        <f t="shared" si="23"/>
        <v>0</v>
      </c>
      <c r="K358" s="117"/>
      <c r="L358" s="117"/>
      <c r="M358" s="118">
        <f t="shared" si="26"/>
        <v>0</v>
      </c>
      <c r="N358" s="117"/>
      <c r="O358" s="117"/>
      <c r="P358" s="118">
        <f t="shared" si="24"/>
        <v>0</v>
      </c>
      <c r="Q358" s="117"/>
      <c r="R358" s="117"/>
      <c r="S358" s="118">
        <f t="shared" si="25"/>
        <v>0</v>
      </c>
    </row>
    <row r="359" spans="8:19" ht="14.25">
      <c r="H359" s="117"/>
      <c r="I359" s="117"/>
      <c r="J359" s="118">
        <f t="shared" si="23"/>
        <v>0</v>
      </c>
      <c r="K359" s="117"/>
      <c r="L359" s="117"/>
      <c r="M359" s="118">
        <f t="shared" si="26"/>
        <v>0</v>
      </c>
      <c r="N359" s="117"/>
      <c r="O359" s="117"/>
      <c r="P359" s="118">
        <f t="shared" si="24"/>
        <v>0</v>
      </c>
      <c r="Q359" s="117"/>
      <c r="R359" s="117"/>
      <c r="S359" s="118">
        <f t="shared" si="25"/>
        <v>0</v>
      </c>
    </row>
    <row r="360" spans="8:19" ht="14.25">
      <c r="H360" s="117"/>
      <c r="I360" s="117"/>
      <c r="J360" s="118">
        <f t="shared" si="23"/>
        <v>0</v>
      </c>
      <c r="K360" s="117"/>
      <c r="L360" s="117"/>
      <c r="M360" s="118">
        <f t="shared" si="26"/>
        <v>0</v>
      </c>
      <c r="N360" s="117"/>
      <c r="O360" s="117"/>
      <c r="P360" s="118">
        <f t="shared" si="24"/>
        <v>0</v>
      </c>
      <c r="Q360" s="117"/>
      <c r="R360" s="117"/>
      <c r="S360" s="118">
        <f t="shared" si="25"/>
        <v>0</v>
      </c>
    </row>
    <row r="361" spans="8:19" ht="14.25">
      <c r="H361" s="117"/>
      <c r="I361" s="117"/>
      <c r="J361" s="118">
        <f t="shared" si="23"/>
        <v>0</v>
      </c>
      <c r="K361" s="117"/>
      <c r="L361" s="117"/>
      <c r="M361" s="118">
        <f t="shared" si="26"/>
        <v>0</v>
      </c>
      <c r="N361" s="117"/>
      <c r="O361" s="117"/>
      <c r="P361" s="118">
        <f t="shared" si="24"/>
        <v>0</v>
      </c>
      <c r="Q361" s="117"/>
      <c r="R361" s="117"/>
      <c r="S361" s="118">
        <f t="shared" si="25"/>
        <v>0</v>
      </c>
    </row>
    <row r="362" spans="8:19" ht="14.25">
      <c r="H362" s="117"/>
      <c r="I362" s="117"/>
      <c r="J362" s="118">
        <f t="shared" si="23"/>
        <v>0</v>
      </c>
      <c r="K362" s="117"/>
      <c r="L362" s="117"/>
      <c r="M362" s="118">
        <f t="shared" si="26"/>
        <v>0</v>
      </c>
      <c r="N362" s="117"/>
      <c r="O362" s="117"/>
      <c r="P362" s="118">
        <f t="shared" si="24"/>
        <v>0</v>
      </c>
      <c r="Q362" s="117"/>
      <c r="R362" s="117"/>
      <c r="S362" s="118">
        <f t="shared" si="25"/>
        <v>0</v>
      </c>
    </row>
    <row r="363" spans="8:19" ht="14.25">
      <c r="H363" s="117"/>
      <c r="I363" s="117"/>
      <c r="J363" s="118">
        <f t="shared" si="23"/>
        <v>0</v>
      </c>
      <c r="K363" s="117"/>
      <c r="L363" s="117"/>
      <c r="M363" s="118">
        <f t="shared" si="26"/>
        <v>0</v>
      </c>
      <c r="N363" s="117"/>
      <c r="O363" s="117"/>
      <c r="P363" s="118">
        <f t="shared" si="24"/>
        <v>0</v>
      </c>
      <c r="Q363" s="117"/>
      <c r="R363" s="117"/>
      <c r="S363" s="118">
        <f t="shared" si="25"/>
        <v>0</v>
      </c>
    </row>
    <row r="364" spans="8:19" ht="14.25">
      <c r="H364" s="117"/>
      <c r="I364" s="117"/>
      <c r="J364" s="118">
        <f t="shared" si="23"/>
        <v>0</v>
      </c>
      <c r="K364" s="117"/>
      <c r="L364" s="117"/>
      <c r="M364" s="118">
        <f t="shared" si="26"/>
        <v>0</v>
      </c>
      <c r="N364" s="117"/>
      <c r="O364" s="117"/>
      <c r="P364" s="118">
        <f t="shared" si="24"/>
        <v>0</v>
      </c>
      <c r="Q364" s="117"/>
      <c r="R364" s="117"/>
      <c r="S364" s="118">
        <f t="shared" si="25"/>
        <v>0</v>
      </c>
    </row>
    <row r="365" spans="8:19" ht="14.25">
      <c r="H365" s="117"/>
      <c r="I365" s="117"/>
      <c r="J365" s="118">
        <f t="shared" si="23"/>
        <v>0</v>
      </c>
      <c r="K365" s="117"/>
      <c r="L365" s="117"/>
      <c r="M365" s="118">
        <f t="shared" si="26"/>
        <v>0</v>
      </c>
      <c r="N365" s="117"/>
      <c r="O365" s="117"/>
      <c r="P365" s="118">
        <f t="shared" si="24"/>
        <v>0</v>
      </c>
      <c r="Q365" s="117"/>
      <c r="R365" s="117"/>
      <c r="S365" s="118">
        <f t="shared" si="25"/>
        <v>0</v>
      </c>
    </row>
    <row r="366" spans="8:19" ht="14.25">
      <c r="H366" s="117"/>
      <c r="I366" s="117"/>
      <c r="J366" s="118">
        <f t="shared" si="23"/>
        <v>0</v>
      </c>
      <c r="K366" s="117"/>
      <c r="L366" s="117"/>
      <c r="M366" s="118">
        <f t="shared" si="26"/>
        <v>0</v>
      </c>
      <c r="N366" s="117"/>
      <c r="O366" s="117"/>
      <c r="P366" s="118">
        <f t="shared" si="24"/>
        <v>0</v>
      </c>
      <c r="Q366" s="117"/>
      <c r="R366" s="117"/>
      <c r="S366" s="118">
        <f t="shared" si="25"/>
        <v>0</v>
      </c>
    </row>
    <row r="367" spans="8:19" ht="14.25">
      <c r="H367" s="117"/>
      <c r="I367" s="117"/>
      <c r="J367" s="118">
        <f t="shared" si="23"/>
        <v>0</v>
      </c>
      <c r="K367" s="117"/>
      <c r="L367" s="117"/>
      <c r="M367" s="118">
        <f t="shared" si="26"/>
        <v>0</v>
      </c>
      <c r="N367" s="117"/>
      <c r="O367" s="117"/>
      <c r="P367" s="118">
        <f t="shared" si="24"/>
        <v>0</v>
      </c>
      <c r="Q367" s="117"/>
      <c r="R367" s="117"/>
      <c r="S367" s="118">
        <f t="shared" si="25"/>
        <v>0</v>
      </c>
    </row>
    <row r="368" spans="8:19" ht="14.25">
      <c r="H368" s="117"/>
      <c r="I368" s="117"/>
      <c r="J368" s="118">
        <f t="shared" si="23"/>
        <v>0</v>
      </c>
      <c r="K368" s="117"/>
      <c r="L368" s="117"/>
      <c r="M368" s="118">
        <f t="shared" si="26"/>
        <v>0</v>
      </c>
      <c r="N368" s="117"/>
      <c r="O368" s="117"/>
      <c r="P368" s="118">
        <f t="shared" si="24"/>
        <v>0</v>
      </c>
      <c r="Q368" s="117"/>
      <c r="R368" s="117"/>
      <c r="S368" s="118">
        <f t="shared" si="25"/>
        <v>0</v>
      </c>
    </row>
    <row r="369" spans="8:19" ht="14.25">
      <c r="H369" s="117"/>
      <c r="I369" s="117"/>
      <c r="J369" s="118">
        <f t="shared" si="23"/>
        <v>0</v>
      </c>
      <c r="K369" s="117"/>
      <c r="L369" s="117"/>
      <c r="M369" s="118">
        <f t="shared" si="26"/>
        <v>0</v>
      </c>
      <c r="N369" s="117"/>
      <c r="O369" s="117"/>
      <c r="P369" s="118">
        <f t="shared" si="24"/>
        <v>0</v>
      </c>
      <c r="Q369" s="117"/>
      <c r="R369" s="117"/>
      <c r="S369" s="118">
        <f t="shared" si="25"/>
        <v>0</v>
      </c>
    </row>
    <row r="370" spans="8:19" ht="14.25">
      <c r="H370" s="117"/>
      <c r="I370" s="117"/>
      <c r="J370" s="118">
        <f t="shared" si="23"/>
        <v>0</v>
      </c>
      <c r="K370" s="117"/>
      <c r="L370" s="117"/>
      <c r="M370" s="118">
        <f t="shared" si="26"/>
        <v>0</v>
      </c>
      <c r="N370" s="117"/>
      <c r="O370" s="117"/>
      <c r="P370" s="118">
        <f t="shared" si="24"/>
        <v>0</v>
      </c>
      <c r="Q370" s="117"/>
      <c r="R370" s="117"/>
      <c r="S370" s="118">
        <f t="shared" si="25"/>
        <v>0</v>
      </c>
    </row>
    <row r="371" spans="8:19" ht="14.25">
      <c r="H371" s="117"/>
      <c r="I371" s="117"/>
      <c r="J371" s="118">
        <f t="shared" si="23"/>
        <v>0</v>
      </c>
      <c r="K371" s="117"/>
      <c r="L371" s="117"/>
      <c r="M371" s="118">
        <f t="shared" si="26"/>
        <v>0</v>
      </c>
      <c r="N371" s="117"/>
      <c r="O371" s="117"/>
      <c r="P371" s="118">
        <f t="shared" si="24"/>
        <v>0</v>
      </c>
      <c r="Q371" s="117"/>
      <c r="R371" s="117"/>
      <c r="S371" s="118">
        <f t="shared" si="25"/>
        <v>0</v>
      </c>
    </row>
    <row r="372" spans="8:19" ht="14.25">
      <c r="H372" s="117"/>
      <c r="I372" s="117"/>
      <c r="J372" s="118">
        <f t="shared" si="23"/>
        <v>0</v>
      </c>
      <c r="K372" s="117"/>
      <c r="L372" s="117"/>
      <c r="M372" s="118">
        <f t="shared" si="26"/>
        <v>0</v>
      </c>
      <c r="N372" s="117"/>
      <c r="O372" s="117"/>
      <c r="P372" s="118">
        <f t="shared" si="24"/>
        <v>0</v>
      </c>
      <c r="Q372" s="117"/>
      <c r="R372" s="117"/>
      <c r="S372" s="118">
        <f t="shared" si="25"/>
        <v>0</v>
      </c>
    </row>
    <row r="373" spans="8:19" ht="14.25">
      <c r="H373" s="117"/>
      <c r="I373" s="117"/>
      <c r="J373" s="118">
        <f t="shared" si="23"/>
        <v>0</v>
      </c>
      <c r="K373" s="117"/>
      <c r="L373" s="117"/>
      <c r="M373" s="118">
        <f t="shared" si="26"/>
        <v>0</v>
      </c>
      <c r="N373" s="117"/>
      <c r="O373" s="117"/>
      <c r="P373" s="118">
        <f t="shared" si="24"/>
        <v>0</v>
      </c>
      <c r="Q373" s="117"/>
      <c r="R373" s="117"/>
      <c r="S373" s="118">
        <f t="shared" si="25"/>
        <v>0</v>
      </c>
    </row>
    <row r="374" spans="8:19" ht="14.25">
      <c r="H374" s="117"/>
      <c r="I374" s="117"/>
      <c r="J374" s="118">
        <f t="shared" si="23"/>
        <v>0</v>
      </c>
      <c r="K374" s="117"/>
      <c r="L374" s="117"/>
      <c r="M374" s="118">
        <f t="shared" si="26"/>
        <v>0</v>
      </c>
      <c r="N374" s="117"/>
      <c r="O374" s="117"/>
      <c r="P374" s="118">
        <f t="shared" si="24"/>
        <v>0</v>
      </c>
      <c r="Q374" s="117"/>
      <c r="R374" s="117"/>
      <c r="S374" s="118">
        <f t="shared" si="25"/>
        <v>0</v>
      </c>
    </row>
    <row r="375" spans="8:19" ht="14.25">
      <c r="H375" s="117"/>
      <c r="I375" s="117"/>
      <c r="J375" s="118">
        <f t="shared" si="23"/>
        <v>0</v>
      </c>
      <c r="K375" s="117"/>
      <c r="L375" s="117"/>
      <c r="M375" s="118">
        <f t="shared" si="26"/>
        <v>0</v>
      </c>
      <c r="N375" s="117"/>
      <c r="O375" s="117"/>
      <c r="P375" s="118">
        <f t="shared" si="24"/>
        <v>0</v>
      </c>
      <c r="Q375" s="117"/>
      <c r="R375" s="117"/>
      <c r="S375" s="118">
        <f t="shared" si="25"/>
        <v>0</v>
      </c>
    </row>
    <row r="376" spans="8:19" ht="14.25">
      <c r="H376" s="117"/>
      <c r="I376" s="117"/>
      <c r="J376" s="118">
        <f t="shared" si="23"/>
        <v>0</v>
      </c>
      <c r="K376" s="117"/>
      <c r="L376" s="117"/>
      <c r="M376" s="118">
        <f t="shared" si="26"/>
        <v>0</v>
      </c>
      <c r="N376" s="117"/>
      <c r="O376" s="117"/>
      <c r="P376" s="118">
        <f t="shared" si="24"/>
        <v>0</v>
      </c>
      <c r="Q376" s="117"/>
      <c r="R376" s="117"/>
      <c r="S376" s="118">
        <f t="shared" si="25"/>
        <v>0</v>
      </c>
    </row>
    <row r="377" spans="8:19" ht="14.25">
      <c r="H377" s="117"/>
      <c r="I377" s="117"/>
      <c r="J377" s="118">
        <f t="shared" si="23"/>
        <v>0</v>
      </c>
      <c r="K377" s="117"/>
      <c r="L377" s="117"/>
      <c r="M377" s="118">
        <f t="shared" si="26"/>
        <v>0</v>
      </c>
      <c r="N377" s="117"/>
      <c r="O377" s="117"/>
      <c r="P377" s="118">
        <f t="shared" si="24"/>
        <v>0</v>
      </c>
      <c r="Q377" s="117"/>
      <c r="R377" s="117"/>
      <c r="S377" s="118">
        <f t="shared" si="25"/>
        <v>0</v>
      </c>
    </row>
    <row r="378" spans="8:19" ht="14.25">
      <c r="H378" s="117"/>
      <c r="I378" s="117"/>
      <c r="J378" s="118">
        <f t="shared" si="23"/>
        <v>0</v>
      </c>
      <c r="K378" s="117"/>
      <c r="L378" s="117"/>
      <c r="M378" s="118">
        <f t="shared" si="26"/>
        <v>0</v>
      </c>
      <c r="N378" s="117"/>
      <c r="O378" s="117"/>
      <c r="P378" s="118">
        <f t="shared" si="24"/>
        <v>0</v>
      </c>
      <c r="Q378" s="117"/>
      <c r="R378" s="117"/>
      <c r="S378" s="118">
        <f t="shared" si="25"/>
        <v>0</v>
      </c>
    </row>
    <row r="379" spans="8:19" ht="14.25">
      <c r="H379" s="117"/>
      <c r="I379" s="117"/>
      <c r="J379" s="118">
        <f t="shared" si="23"/>
        <v>0</v>
      </c>
      <c r="K379" s="117"/>
      <c r="L379" s="117"/>
      <c r="M379" s="118">
        <f t="shared" si="26"/>
        <v>0</v>
      </c>
      <c r="N379" s="117"/>
      <c r="O379" s="117"/>
      <c r="P379" s="118">
        <f t="shared" si="24"/>
        <v>0</v>
      </c>
      <c r="Q379" s="117"/>
      <c r="R379" s="117"/>
      <c r="S379" s="118">
        <f t="shared" si="25"/>
        <v>0</v>
      </c>
    </row>
    <row r="380" spans="8:19" ht="14.25">
      <c r="H380" s="117"/>
      <c r="I380" s="117"/>
      <c r="J380" s="118">
        <f t="shared" si="23"/>
        <v>0</v>
      </c>
      <c r="K380" s="117"/>
      <c r="L380" s="117"/>
      <c r="M380" s="118">
        <f t="shared" si="26"/>
        <v>0</v>
      </c>
      <c r="N380" s="117"/>
      <c r="O380" s="117"/>
      <c r="P380" s="118">
        <f t="shared" si="24"/>
        <v>0</v>
      </c>
      <c r="Q380" s="117"/>
      <c r="R380" s="117"/>
      <c r="S380" s="118">
        <f t="shared" si="25"/>
        <v>0</v>
      </c>
    </row>
    <row r="381" spans="8:19" ht="14.25">
      <c r="H381" s="117"/>
      <c r="I381" s="117"/>
      <c r="J381" s="118">
        <f t="shared" si="23"/>
        <v>0</v>
      </c>
      <c r="K381" s="117"/>
      <c r="L381" s="117"/>
      <c r="M381" s="118">
        <f t="shared" si="26"/>
        <v>0</v>
      </c>
      <c r="N381" s="117"/>
      <c r="O381" s="117"/>
      <c r="P381" s="118">
        <f t="shared" si="24"/>
        <v>0</v>
      </c>
      <c r="Q381" s="117"/>
      <c r="R381" s="117"/>
      <c r="S381" s="118">
        <f t="shared" si="25"/>
        <v>0</v>
      </c>
    </row>
    <row r="382" spans="8:19" ht="14.25">
      <c r="H382" s="117"/>
      <c r="I382" s="117"/>
      <c r="J382" s="118">
        <f t="shared" si="23"/>
        <v>0</v>
      </c>
      <c r="K382" s="117"/>
      <c r="L382" s="117"/>
      <c r="M382" s="118">
        <f t="shared" si="26"/>
        <v>0</v>
      </c>
      <c r="N382" s="117"/>
      <c r="O382" s="117"/>
      <c r="P382" s="118">
        <f t="shared" si="24"/>
        <v>0</v>
      </c>
      <c r="Q382" s="117"/>
      <c r="R382" s="117"/>
      <c r="S382" s="118">
        <f t="shared" si="25"/>
        <v>0</v>
      </c>
    </row>
    <row r="383" spans="8:19" ht="14.25">
      <c r="H383" s="117"/>
      <c r="I383" s="117"/>
      <c r="J383" s="118">
        <f t="shared" si="23"/>
        <v>0</v>
      </c>
      <c r="K383" s="117"/>
      <c r="L383" s="117"/>
      <c r="M383" s="118">
        <f t="shared" si="26"/>
        <v>0</v>
      </c>
      <c r="N383" s="117"/>
      <c r="O383" s="117"/>
      <c r="P383" s="118">
        <f t="shared" si="24"/>
        <v>0</v>
      </c>
      <c r="Q383" s="117"/>
      <c r="R383" s="117"/>
      <c r="S383" s="118">
        <f t="shared" si="25"/>
        <v>0</v>
      </c>
    </row>
    <row r="384" spans="8:19" ht="14.25">
      <c r="H384" s="117"/>
      <c r="I384" s="117"/>
      <c r="J384" s="118">
        <f t="shared" si="23"/>
        <v>0</v>
      </c>
      <c r="K384" s="117"/>
      <c r="L384" s="117"/>
      <c r="M384" s="118">
        <f t="shared" si="26"/>
        <v>0</v>
      </c>
      <c r="N384" s="117"/>
      <c r="O384" s="117"/>
      <c r="P384" s="118">
        <f t="shared" si="24"/>
        <v>0</v>
      </c>
      <c r="Q384" s="117"/>
      <c r="R384" s="117"/>
      <c r="S384" s="118">
        <f t="shared" si="25"/>
        <v>0</v>
      </c>
    </row>
    <row r="385" spans="8:19" ht="14.25">
      <c r="H385" s="117"/>
      <c r="I385" s="117"/>
      <c r="J385" s="118">
        <f t="shared" si="23"/>
        <v>0</v>
      </c>
      <c r="K385" s="117"/>
      <c r="L385" s="117"/>
      <c r="M385" s="118">
        <f t="shared" si="26"/>
        <v>0</v>
      </c>
      <c r="N385" s="117"/>
      <c r="O385" s="117"/>
      <c r="P385" s="118">
        <f t="shared" si="24"/>
        <v>0</v>
      </c>
      <c r="Q385" s="117"/>
      <c r="R385" s="117"/>
      <c r="S385" s="118">
        <f t="shared" si="25"/>
        <v>0</v>
      </c>
    </row>
    <row r="386" spans="8:19" ht="14.25">
      <c r="H386" s="117"/>
      <c r="I386" s="117"/>
      <c r="J386" s="118">
        <f t="shared" si="23"/>
        <v>0</v>
      </c>
      <c r="K386" s="117"/>
      <c r="L386" s="117"/>
      <c r="M386" s="118">
        <f t="shared" si="26"/>
        <v>0</v>
      </c>
      <c r="N386" s="117"/>
      <c r="O386" s="117"/>
      <c r="P386" s="118">
        <f t="shared" si="24"/>
        <v>0</v>
      </c>
      <c r="Q386" s="117"/>
      <c r="R386" s="117"/>
      <c r="S386" s="118">
        <f t="shared" si="25"/>
        <v>0</v>
      </c>
    </row>
    <row r="387" spans="8:19" ht="14.25">
      <c r="H387" s="117"/>
      <c r="I387" s="117"/>
      <c r="J387" s="118">
        <f t="shared" si="23"/>
        <v>0</v>
      </c>
      <c r="K387" s="117"/>
      <c r="L387" s="117"/>
      <c r="M387" s="118">
        <f t="shared" si="26"/>
        <v>0</v>
      </c>
      <c r="N387" s="117"/>
      <c r="O387" s="117"/>
      <c r="P387" s="118">
        <f t="shared" si="24"/>
        <v>0</v>
      </c>
      <c r="Q387" s="117"/>
      <c r="R387" s="117"/>
      <c r="S387" s="118">
        <f t="shared" si="25"/>
        <v>0</v>
      </c>
    </row>
    <row r="388" spans="8:19" ht="14.25">
      <c r="H388" s="117"/>
      <c r="I388" s="117"/>
      <c r="J388" s="118">
        <f t="shared" si="23"/>
        <v>0</v>
      </c>
      <c r="K388" s="117"/>
      <c r="L388" s="117"/>
      <c r="M388" s="118">
        <f t="shared" si="26"/>
        <v>0</v>
      </c>
      <c r="N388" s="117"/>
      <c r="O388" s="117"/>
      <c r="P388" s="118">
        <f t="shared" si="24"/>
        <v>0</v>
      </c>
      <c r="Q388" s="117"/>
      <c r="R388" s="117"/>
      <c r="S388" s="118">
        <f t="shared" si="25"/>
        <v>0</v>
      </c>
    </row>
    <row r="389" spans="8:19" ht="14.25">
      <c r="H389" s="117"/>
      <c r="I389" s="117"/>
      <c r="J389" s="118">
        <f t="shared" ref="J389:J452" si="27">H389*I389</f>
        <v>0</v>
      </c>
      <c r="K389" s="117"/>
      <c r="L389" s="117"/>
      <c r="M389" s="118">
        <f t="shared" si="26"/>
        <v>0</v>
      </c>
      <c r="N389" s="117"/>
      <c r="O389" s="117"/>
      <c r="P389" s="118">
        <f t="shared" si="24"/>
        <v>0</v>
      </c>
      <c r="Q389" s="117"/>
      <c r="R389" s="117"/>
      <c r="S389" s="118">
        <f t="shared" si="25"/>
        <v>0</v>
      </c>
    </row>
    <row r="390" spans="8:19" ht="14.25">
      <c r="H390" s="117"/>
      <c r="I390" s="117"/>
      <c r="J390" s="118">
        <f t="shared" si="27"/>
        <v>0</v>
      </c>
      <c r="K390" s="117"/>
      <c r="L390" s="117"/>
      <c r="M390" s="118">
        <f t="shared" si="26"/>
        <v>0</v>
      </c>
      <c r="N390" s="117"/>
      <c r="O390" s="117"/>
      <c r="P390" s="118">
        <f t="shared" si="24"/>
        <v>0</v>
      </c>
      <c r="Q390" s="117"/>
      <c r="R390" s="117"/>
      <c r="S390" s="118">
        <f t="shared" si="25"/>
        <v>0</v>
      </c>
    </row>
    <row r="391" spans="8:19" ht="14.25">
      <c r="H391" s="117"/>
      <c r="I391" s="117"/>
      <c r="J391" s="118">
        <f t="shared" si="27"/>
        <v>0</v>
      </c>
      <c r="K391" s="117"/>
      <c r="L391" s="117"/>
      <c r="M391" s="118">
        <f t="shared" si="26"/>
        <v>0</v>
      </c>
      <c r="N391" s="117"/>
      <c r="O391" s="117"/>
      <c r="P391" s="118">
        <f t="shared" si="24"/>
        <v>0</v>
      </c>
      <c r="Q391" s="117"/>
      <c r="R391" s="117"/>
      <c r="S391" s="118">
        <f t="shared" si="25"/>
        <v>0</v>
      </c>
    </row>
    <row r="392" spans="8:19" ht="14.25">
      <c r="H392" s="117"/>
      <c r="I392" s="117"/>
      <c r="J392" s="118">
        <f t="shared" si="27"/>
        <v>0</v>
      </c>
      <c r="K392" s="117"/>
      <c r="L392" s="117"/>
      <c r="M392" s="118">
        <f t="shared" si="26"/>
        <v>0</v>
      </c>
      <c r="N392" s="117"/>
      <c r="O392" s="117"/>
      <c r="P392" s="118">
        <f t="shared" si="24"/>
        <v>0</v>
      </c>
      <c r="Q392" s="117"/>
      <c r="R392" s="117"/>
      <c r="S392" s="118">
        <f t="shared" si="25"/>
        <v>0</v>
      </c>
    </row>
    <row r="393" spans="8:19" ht="14.25">
      <c r="H393" s="117"/>
      <c r="I393" s="117"/>
      <c r="J393" s="118">
        <f t="shared" si="27"/>
        <v>0</v>
      </c>
      <c r="K393" s="117"/>
      <c r="L393" s="117"/>
      <c r="M393" s="118">
        <f t="shared" si="26"/>
        <v>0</v>
      </c>
      <c r="N393" s="117"/>
      <c r="O393" s="117"/>
      <c r="P393" s="118">
        <f t="shared" si="24"/>
        <v>0</v>
      </c>
      <c r="Q393" s="117"/>
      <c r="R393" s="117"/>
      <c r="S393" s="118">
        <f t="shared" si="25"/>
        <v>0</v>
      </c>
    </row>
    <row r="394" spans="8:19" ht="14.25">
      <c r="H394" s="117"/>
      <c r="I394" s="117"/>
      <c r="J394" s="118">
        <f t="shared" si="27"/>
        <v>0</v>
      </c>
      <c r="K394" s="117"/>
      <c r="L394" s="117"/>
      <c r="M394" s="118">
        <f t="shared" si="26"/>
        <v>0</v>
      </c>
      <c r="N394" s="117"/>
      <c r="O394" s="117"/>
      <c r="P394" s="118">
        <f t="shared" si="24"/>
        <v>0</v>
      </c>
      <c r="Q394" s="117"/>
      <c r="R394" s="117"/>
      <c r="S394" s="118">
        <f t="shared" si="25"/>
        <v>0</v>
      </c>
    </row>
    <row r="395" spans="8:19" ht="14.25">
      <c r="H395" s="117"/>
      <c r="I395" s="117"/>
      <c r="J395" s="118">
        <f t="shared" si="27"/>
        <v>0</v>
      </c>
      <c r="K395" s="117"/>
      <c r="L395" s="117"/>
      <c r="M395" s="118">
        <f t="shared" si="26"/>
        <v>0</v>
      </c>
      <c r="N395" s="117"/>
      <c r="O395" s="117"/>
      <c r="P395" s="118">
        <f t="shared" si="24"/>
        <v>0</v>
      </c>
      <c r="Q395" s="117"/>
      <c r="R395" s="117"/>
      <c r="S395" s="118">
        <f t="shared" si="25"/>
        <v>0</v>
      </c>
    </row>
    <row r="396" spans="8:19" ht="14.25">
      <c r="H396" s="117"/>
      <c r="I396" s="117"/>
      <c r="J396" s="118">
        <f t="shared" si="27"/>
        <v>0</v>
      </c>
      <c r="K396" s="117"/>
      <c r="L396" s="117"/>
      <c r="M396" s="118">
        <f t="shared" si="26"/>
        <v>0</v>
      </c>
      <c r="N396" s="117"/>
      <c r="O396" s="117"/>
      <c r="P396" s="118">
        <f t="shared" si="24"/>
        <v>0</v>
      </c>
      <c r="Q396" s="117"/>
      <c r="R396" s="117"/>
      <c r="S396" s="118">
        <f t="shared" si="25"/>
        <v>0</v>
      </c>
    </row>
    <row r="397" spans="8:19" ht="14.25">
      <c r="H397" s="117"/>
      <c r="I397" s="117"/>
      <c r="J397" s="118">
        <f t="shared" si="27"/>
        <v>0</v>
      </c>
      <c r="K397" s="117"/>
      <c r="L397" s="117"/>
      <c r="M397" s="118">
        <f t="shared" si="26"/>
        <v>0</v>
      </c>
      <c r="N397" s="117"/>
      <c r="O397" s="117"/>
      <c r="P397" s="118">
        <f t="shared" ref="P397:P460" si="28">N397*O397</f>
        <v>0</v>
      </c>
      <c r="Q397" s="117"/>
      <c r="R397" s="117"/>
      <c r="S397" s="118">
        <f t="shared" si="25"/>
        <v>0</v>
      </c>
    </row>
    <row r="398" spans="8:19" ht="14.25">
      <c r="H398" s="117"/>
      <c r="I398" s="117"/>
      <c r="J398" s="118">
        <f t="shared" si="27"/>
        <v>0</v>
      </c>
      <c r="K398" s="117"/>
      <c r="L398" s="117"/>
      <c r="M398" s="118">
        <f t="shared" si="26"/>
        <v>0</v>
      </c>
      <c r="N398" s="117"/>
      <c r="O398" s="117"/>
      <c r="P398" s="118">
        <f t="shared" si="28"/>
        <v>0</v>
      </c>
      <c r="Q398" s="117"/>
      <c r="R398" s="117"/>
      <c r="S398" s="118">
        <f t="shared" ref="S398:S461" si="29">Q398*R398</f>
        <v>0</v>
      </c>
    </row>
    <row r="399" spans="8:19" ht="14.25">
      <c r="H399" s="117"/>
      <c r="I399" s="117"/>
      <c r="J399" s="118">
        <f t="shared" si="27"/>
        <v>0</v>
      </c>
      <c r="K399" s="117"/>
      <c r="L399" s="117"/>
      <c r="M399" s="118">
        <f t="shared" ref="M399:M462" si="30">K399*L399</f>
        <v>0</v>
      </c>
      <c r="N399" s="117"/>
      <c r="O399" s="117"/>
      <c r="P399" s="118">
        <f t="shared" si="28"/>
        <v>0</v>
      </c>
      <c r="Q399" s="117"/>
      <c r="R399" s="117"/>
      <c r="S399" s="118">
        <f t="shared" si="29"/>
        <v>0</v>
      </c>
    </row>
    <row r="400" spans="8:19" ht="14.25">
      <c r="H400" s="117"/>
      <c r="I400" s="117"/>
      <c r="J400" s="118">
        <f t="shared" si="27"/>
        <v>0</v>
      </c>
      <c r="K400" s="117"/>
      <c r="L400" s="117"/>
      <c r="M400" s="118">
        <f t="shared" si="30"/>
        <v>0</v>
      </c>
      <c r="N400" s="117"/>
      <c r="O400" s="117"/>
      <c r="P400" s="118">
        <f t="shared" si="28"/>
        <v>0</v>
      </c>
      <c r="Q400" s="117"/>
      <c r="R400" s="117"/>
      <c r="S400" s="118">
        <f t="shared" si="29"/>
        <v>0</v>
      </c>
    </row>
    <row r="401" spans="8:19" ht="14.25">
      <c r="H401" s="117"/>
      <c r="I401" s="117"/>
      <c r="J401" s="118">
        <f t="shared" si="27"/>
        <v>0</v>
      </c>
      <c r="K401" s="117"/>
      <c r="L401" s="117"/>
      <c r="M401" s="118">
        <f t="shared" si="30"/>
        <v>0</v>
      </c>
      <c r="N401" s="117"/>
      <c r="O401" s="117"/>
      <c r="P401" s="118">
        <f t="shared" si="28"/>
        <v>0</v>
      </c>
      <c r="Q401" s="117"/>
      <c r="R401" s="117"/>
      <c r="S401" s="118">
        <f t="shared" si="29"/>
        <v>0</v>
      </c>
    </row>
    <row r="402" spans="8:19" ht="14.25">
      <c r="H402" s="117"/>
      <c r="I402" s="117"/>
      <c r="J402" s="118">
        <f t="shared" si="27"/>
        <v>0</v>
      </c>
      <c r="K402" s="117"/>
      <c r="L402" s="117"/>
      <c r="M402" s="118">
        <f t="shared" si="30"/>
        <v>0</v>
      </c>
      <c r="N402" s="117"/>
      <c r="O402" s="117"/>
      <c r="P402" s="118">
        <f t="shared" si="28"/>
        <v>0</v>
      </c>
      <c r="Q402" s="117"/>
      <c r="R402" s="117"/>
      <c r="S402" s="118">
        <f t="shared" si="29"/>
        <v>0</v>
      </c>
    </row>
    <row r="403" spans="8:19" ht="14.25">
      <c r="H403" s="117"/>
      <c r="I403" s="117"/>
      <c r="J403" s="118">
        <f t="shared" si="27"/>
        <v>0</v>
      </c>
      <c r="K403" s="117"/>
      <c r="L403" s="117"/>
      <c r="M403" s="118">
        <f t="shared" si="30"/>
        <v>0</v>
      </c>
      <c r="N403" s="117"/>
      <c r="O403" s="117"/>
      <c r="P403" s="118">
        <f t="shared" si="28"/>
        <v>0</v>
      </c>
      <c r="Q403" s="117"/>
      <c r="R403" s="117"/>
      <c r="S403" s="118">
        <f t="shared" si="29"/>
        <v>0</v>
      </c>
    </row>
    <row r="404" spans="8:19" ht="14.25">
      <c r="H404" s="117"/>
      <c r="I404" s="117"/>
      <c r="J404" s="118">
        <f t="shared" si="27"/>
        <v>0</v>
      </c>
      <c r="K404" s="117"/>
      <c r="L404" s="117"/>
      <c r="M404" s="118">
        <f t="shared" si="30"/>
        <v>0</v>
      </c>
      <c r="N404" s="117"/>
      <c r="O404" s="117"/>
      <c r="P404" s="118">
        <f t="shared" si="28"/>
        <v>0</v>
      </c>
      <c r="Q404" s="117"/>
      <c r="R404" s="117"/>
      <c r="S404" s="118">
        <f t="shared" si="29"/>
        <v>0</v>
      </c>
    </row>
    <row r="405" spans="8:19" ht="14.25">
      <c r="H405" s="117"/>
      <c r="I405" s="117"/>
      <c r="J405" s="118">
        <f t="shared" si="27"/>
        <v>0</v>
      </c>
      <c r="K405" s="117"/>
      <c r="L405" s="117"/>
      <c r="M405" s="118">
        <f t="shared" si="30"/>
        <v>0</v>
      </c>
      <c r="N405" s="117"/>
      <c r="O405" s="117"/>
      <c r="P405" s="118">
        <f t="shared" si="28"/>
        <v>0</v>
      </c>
      <c r="Q405" s="117"/>
      <c r="R405" s="117"/>
      <c r="S405" s="118">
        <f t="shared" si="29"/>
        <v>0</v>
      </c>
    </row>
    <row r="406" spans="8:19" ht="14.25">
      <c r="H406" s="117"/>
      <c r="I406" s="117"/>
      <c r="J406" s="118">
        <f t="shared" si="27"/>
        <v>0</v>
      </c>
      <c r="K406" s="117"/>
      <c r="L406" s="117"/>
      <c r="M406" s="118">
        <f t="shared" si="30"/>
        <v>0</v>
      </c>
      <c r="N406" s="117"/>
      <c r="O406" s="117"/>
      <c r="P406" s="118">
        <f t="shared" si="28"/>
        <v>0</v>
      </c>
      <c r="Q406" s="117"/>
      <c r="R406" s="117"/>
      <c r="S406" s="118">
        <f t="shared" si="29"/>
        <v>0</v>
      </c>
    </row>
    <row r="407" spans="8:19" ht="14.25">
      <c r="H407" s="117"/>
      <c r="I407" s="117"/>
      <c r="J407" s="118">
        <f t="shared" si="27"/>
        <v>0</v>
      </c>
      <c r="K407" s="117"/>
      <c r="L407" s="117"/>
      <c r="M407" s="118">
        <f t="shared" si="30"/>
        <v>0</v>
      </c>
      <c r="N407" s="117"/>
      <c r="O407" s="117"/>
      <c r="P407" s="118">
        <f t="shared" si="28"/>
        <v>0</v>
      </c>
      <c r="Q407" s="117"/>
      <c r="R407" s="117"/>
      <c r="S407" s="118">
        <f t="shared" si="29"/>
        <v>0</v>
      </c>
    </row>
    <row r="408" spans="8:19" ht="14.25">
      <c r="H408" s="117"/>
      <c r="I408" s="117"/>
      <c r="J408" s="118">
        <f t="shared" si="27"/>
        <v>0</v>
      </c>
      <c r="K408" s="117"/>
      <c r="L408" s="117"/>
      <c r="M408" s="118">
        <f t="shared" si="30"/>
        <v>0</v>
      </c>
      <c r="N408" s="117"/>
      <c r="O408" s="117"/>
      <c r="P408" s="118">
        <f t="shared" si="28"/>
        <v>0</v>
      </c>
      <c r="Q408" s="117"/>
      <c r="R408" s="117"/>
      <c r="S408" s="118">
        <f t="shared" si="29"/>
        <v>0</v>
      </c>
    </row>
    <row r="409" spans="8:19" ht="14.25">
      <c r="H409" s="117"/>
      <c r="I409" s="117"/>
      <c r="J409" s="118">
        <f t="shared" si="27"/>
        <v>0</v>
      </c>
      <c r="K409" s="117"/>
      <c r="L409" s="117"/>
      <c r="M409" s="118">
        <f t="shared" si="30"/>
        <v>0</v>
      </c>
      <c r="N409" s="117"/>
      <c r="O409" s="117"/>
      <c r="P409" s="118">
        <f t="shared" si="28"/>
        <v>0</v>
      </c>
      <c r="Q409" s="117"/>
      <c r="R409" s="117"/>
      <c r="S409" s="118">
        <f t="shared" si="29"/>
        <v>0</v>
      </c>
    </row>
    <row r="410" spans="8:19" ht="14.25">
      <c r="H410" s="117"/>
      <c r="I410" s="117"/>
      <c r="J410" s="118">
        <f t="shared" si="27"/>
        <v>0</v>
      </c>
      <c r="K410" s="117"/>
      <c r="L410" s="117"/>
      <c r="M410" s="118">
        <f t="shared" si="30"/>
        <v>0</v>
      </c>
      <c r="N410" s="117"/>
      <c r="O410" s="117"/>
      <c r="P410" s="118">
        <f t="shared" si="28"/>
        <v>0</v>
      </c>
      <c r="Q410" s="117"/>
      <c r="R410" s="117"/>
      <c r="S410" s="118">
        <f t="shared" si="29"/>
        <v>0</v>
      </c>
    </row>
    <row r="411" spans="8:19" ht="14.25">
      <c r="H411" s="117"/>
      <c r="I411" s="117"/>
      <c r="J411" s="118">
        <f t="shared" si="27"/>
        <v>0</v>
      </c>
      <c r="K411" s="117"/>
      <c r="L411" s="117"/>
      <c r="M411" s="118">
        <f t="shared" si="30"/>
        <v>0</v>
      </c>
      <c r="N411" s="117"/>
      <c r="O411" s="117"/>
      <c r="P411" s="118">
        <f t="shared" si="28"/>
        <v>0</v>
      </c>
      <c r="Q411" s="117"/>
      <c r="R411" s="117"/>
      <c r="S411" s="118">
        <f t="shared" si="29"/>
        <v>0</v>
      </c>
    </row>
    <row r="412" spans="8:19" ht="14.25">
      <c r="H412" s="117"/>
      <c r="I412" s="117"/>
      <c r="J412" s="118">
        <f t="shared" si="27"/>
        <v>0</v>
      </c>
      <c r="K412" s="117"/>
      <c r="L412" s="117"/>
      <c r="M412" s="118">
        <f t="shared" si="30"/>
        <v>0</v>
      </c>
      <c r="N412" s="117"/>
      <c r="O412" s="117"/>
      <c r="P412" s="118">
        <f t="shared" si="28"/>
        <v>0</v>
      </c>
      <c r="Q412" s="117"/>
      <c r="R412" s="117"/>
      <c r="S412" s="118">
        <f t="shared" si="29"/>
        <v>0</v>
      </c>
    </row>
    <row r="413" spans="8:19" ht="14.25">
      <c r="H413" s="117"/>
      <c r="I413" s="117"/>
      <c r="J413" s="118">
        <f t="shared" si="27"/>
        <v>0</v>
      </c>
      <c r="K413" s="117"/>
      <c r="L413" s="117"/>
      <c r="M413" s="118">
        <f t="shared" si="30"/>
        <v>0</v>
      </c>
      <c r="N413" s="117"/>
      <c r="O413" s="117"/>
      <c r="P413" s="118">
        <f t="shared" si="28"/>
        <v>0</v>
      </c>
      <c r="Q413" s="117"/>
      <c r="R413" s="117"/>
      <c r="S413" s="118">
        <f t="shared" si="29"/>
        <v>0</v>
      </c>
    </row>
    <row r="414" spans="8:19" ht="14.25">
      <c r="H414" s="117"/>
      <c r="I414" s="117"/>
      <c r="J414" s="118">
        <f t="shared" si="27"/>
        <v>0</v>
      </c>
      <c r="K414" s="117"/>
      <c r="L414" s="117"/>
      <c r="M414" s="118">
        <f t="shared" si="30"/>
        <v>0</v>
      </c>
      <c r="N414" s="117"/>
      <c r="O414" s="117"/>
      <c r="P414" s="118">
        <f t="shared" si="28"/>
        <v>0</v>
      </c>
      <c r="Q414" s="117"/>
      <c r="R414" s="117"/>
      <c r="S414" s="118">
        <f t="shared" si="29"/>
        <v>0</v>
      </c>
    </row>
    <row r="415" spans="8:19" ht="14.25">
      <c r="H415" s="117"/>
      <c r="I415" s="117"/>
      <c r="J415" s="118">
        <f t="shared" si="27"/>
        <v>0</v>
      </c>
      <c r="K415" s="117"/>
      <c r="L415" s="117"/>
      <c r="M415" s="118">
        <f t="shared" si="30"/>
        <v>0</v>
      </c>
      <c r="N415" s="117"/>
      <c r="O415" s="117"/>
      <c r="P415" s="118">
        <f t="shared" si="28"/>
        <v>0</v>
      </c>
      <c r="Q415" s="117"/>
      <c r="R415" s="117"/>
      <c r="S415" s="118">
        <f t="shared" si="29"/>
        <v>0</v>
      </c>
    </row>
    <row r="416" spans="8:19" ht="14.25">
      <c r="H416" s="117"/>
      <c r="I416" s="117"/>
      <c r="J416" s="118">
        <f t="shared" si="27"/>
        <v>0</v>
      </c>
      <c r="K416" s="117"/>
      <c r="L416" s="117"/>
      <c r="M416" s="118">
        <f t="shared" si="30"/>
        <v>0</v>
      </c>
      <c r="N416" s="117"/>
      <c r="O416" s="117"/>
      <c r="P416" s="118">
        <f t="shared" si="28"/>
        <v>0</v>
      </c>
      <c r="Q416" s="117"/>
      <c r="R416" s="117"/>
      <c r="S416" s="118">
        <f t="shared" si="29"/>
        <v>0</v>
      </c>
    </row>
    <row r="417" spans="8:19" ht="14.25">
      <c r="H417" s="117"/>
      <c r="I417" s="117"/>
      <c r="J417" s="118">
        <f t="shared" si="27"/>
        <v>0</v>
      </c>
      <c r="K417" s="117"/>
      <c r="L417" s="117"/>
      <c r="M417" s="118">
        <f t="shared" si="30"/>
        <v>0</v>
      </c>
      <c r="N417" s="117"/>
      <c r="O417" s="117"/>
      <c r="P417" s="118">
        <f t="shared" si="28"/>
        <v>0</v>
      </c>
      <c r="Q417" s="117"/>
      <c r="R417" s="117"/>
      <c r="S417" s="118">
        <f t="shared" si="29"/>
        <v>0</v>
      </c>
    </row>
    <row r="418" spans="8:19" ht="14.25">
      <c r="H418" s="117"/>
      <c r="I418" s="117"/>
      <c r="J418" s="118">
        <f t="shared" si="27"/>
        <v>0</v>
      </c>
      <c r="K418" s="117"/>
      <c r="L418" s="117"/>
      <c r="M418" s="118">
        <f t="shared" si="30"/>
        <v>0</v>
      </c>
      <c r="N418" s="117"/>
      <c r="O418" s="117"/>
      <c r="P418" s="118">
        <f t="shared" si="28"/>
        <v>0</v>
      </c>
      <c r="Q418" s="117"/>
      <c r="R418" s="117"/>
      <c r="S418" s="118">
        <f t="shared" si="29"/>
        <v>0</v>
      </c>
    </row>
    <row r="419" spans="8:19" ht="14.25">
      <c r="H419" s="117"/>
      <c r="I419" s="117"/>
      <c r="J419" s="118">
        <f t="shared" si="27"/>
        <v>0</v>
      </c>
      <c r="K419" s="117"/>
      <c r="L419" s="117"/>
      <c r="M419" s="118">
        <f t="shared" si="30"/>
        <v>0</v>
      </c>
      <c r="N419" s="117"/>
      <c r="O419" s="117"/>
      <c r="P419" s="118">
        <f t="shared" si="28"/>
        <v>0</v>
      </c>
      <c r="Q419" s="117"/>
      <c r="R419" s="117"/>
      <c r="S419" s="118">
        <f t="shared" si="29"/>
        <v>0</v>
      </c>
    </row>
    <row r="420" spans="8:19" ht="14.25">
      <c r="H420" s="117"/>
      <c r="I420" s="117"/>
      <c r="J420" s="118">
        <f t="shared" si="27"/>
        <v>0</v>
      </c>
      <c r="K420" s="117"/>
      <c r="L420" s="117"/>
      <c r="M420" s="118">
        <f t="shared" si="30"/>
        <v>0</v>
      </c>
      <c r="N420" s="117"/>
      <c r="O420" s="117"/>
      <c r="P420" s="118">
        <f t="shared" si="28"/>
        <v>0</v>
      </c>
      <c r="Q420" s="117"/>
      <c r="R420" s="117"/>
      <c r="S420" s="118">
        <f t="shared" si="29"/>
        <v>0</v>
      </c>
    </row>
    <row r="421" spans="8:19" ht="14.25">
      <c r="H421" s="117"/>
      <c r="I421" s="117"/>
      <c r="J421" s="118">
        <f t="shared" si="27"/>
        <v>0</v>
      </c>
      <c r="K421" s="117"/>
      <c r="L421" s="117"/>
      <c r="M421" s="118">
        <f t="shared" si="30"/>
        <v>0</v>
      </c>
      <c r="N421" s="117"/>
      <c r="O421" s="117"/>
      <c r="P421" s="118">
        <f t="shared" si="28"/>
        <v>0</v>
      </c>
      <c r="Q421" s="117"/>
      <c r="R421" s="117"/>
      <c r="S421" s="118">
        <f t="shared" si="29"/>
        <v>0</v>
      </c>
    </row>
    <row r="422" spans="8:19" ht="14.25">
      <c r="H422" s="117"/>
      <c r="I422" s="117"/>
      <c r="J422" s="118">
        <f t="shared" si="27"/>
        <v>0</v>
      </c>
      <c r="K422" s="117"/>
      <c r="L422" s="117"/>
      <c r="M422" s="118">
        <f t="shared" si="30"/>
        <v>0</v>
      </c>
      <c r="N422" s="117"/>
      <c r="O422" s="117"/>
      <c r="P422" s="118">
        <f t="shared" si="28"/>
        <v>0</v>
      </c>
      <c r="Q422" s="117"/>
      <c r="R422" s="117"/>
      <c r="S422" s="118">
        <f t="shared" si="29"/>
        <v>0</v>
      </c>
    </row>
    <row r="423" spans="8:19" ht="14.25">
      <c r="H423" s="117"/>
      <c r="I423" s="117"/>
      <c r="J423" s="118">
        <f t="shared" si="27"/>
        <v>0</v>
      </c>
      <c r="K423" s="117"/>
      <c r="L423" s="117"/>
      <c r="M423" s="118">
        <f t="shared" si="30"/>
        <v>0</v>
      </c>
      <c r="N423" s="117"/>
      <c r="O423" s="117"/>
      <c r="P423" s="118">
        <f t="shared" si="28"/>
        <v>0</v>
      </c>
      <c r="Q423" s="117"/>
      <c r="R423" s="117"/>
      <c r="S423" s="118">
        <f t="shared" si="29"/>
        <v>0</v>
      </c>
    </row>
    <row r="424" spans="8:19" ht="14.25">
      <c r="H424" s="117"/>
      <c r="I424" s="117"/>
      <c r="J424" s="118">
        <f t="shared" si="27"/>
        <v>0</v>
      </c>
      <c r="K424" s="117"/>
      <c r="L424" s="117"/>
      <c r="M424" s="118">
        <f t="shared" si="30"/>
        <v>0</v>
      </c>
      <c r="N424" s="117"/>
      <c r="O424" s="117"/>
      <c r="P424" s="118">
        <f t="shared" si="28"/>
        <v>0</v>
      </c>
      <c r="Q424" s="117"/>
      <c r="R424" s="117"/>
      <c r="S424" s="118">
        <f t="shared" si="29"/>
        <v>0</v>
      </c>
    </row>
    <row r="425" spans="8:19" ht="14.25">
      <c r="H425" s="117"/>
      <c r="I425" s="117"/>
      <c r="J425" s="118">
        <f t="shared" si="27"/>
        <v>0</v>
      </c>
      <c r="K425" s="117"/>
      <c r="L425" s="117"/>
      <c r="M425" s="118">
        <f t="shared" si="30"/>
        <v>0</v>
      </c>
      <c r="N425" s="117"/>
      <c r="O425" s="117"/>
      <c r="P425" s="118">
        <f t="shared" si="28"/>
        <v>0</v>
      </c>
      <c r="Q425" s="117"/>
      <c r="R425" s="117"/>
      <c r="S425" s="118">
        <f t="shared" si="29"/>
        <v>0</v>
      </c>
    </row>
    <row r="426" spans="8:19" ht="14.25">
      <c r="H426" s="117"/>
      <c r="I426" s="117"/>
      <c r="J426" s="118">
        <f t="shared" si="27"/>
        <v>0</v>
      </c>
      <c r="K426" s="117"/>
      <c r="L426" s="117"/>
      <c r="M426" s="118">
        <f t="shared" si="30"/>
        <v>0</v>
      </c>
      <c r="N426" s="117"/>
      <c r="O426" s="117"/>
      <c r="P426" s="118">
        <f t="shared" si="28"/>
        <v>0</v>
      </c>
      <c r="Q426" s="117"/>
      <c r="R426" s="117"/>
      <c r="S426" s="118">
        <f t="shared" si="29"/>
        <v>0</v>
      </c>
    </row>
    <row r="427" spans="8:19" ht="14.25">
      <c r="H427" s="117"/>
      <c r="I427" s="117"/>
      <c r="J427" s="118">
        <f t="shared" si="27"/>
        <v>0</v>
      </c>
      <c r="K427" s="117"/>
      <c r="L427" s="117"/>
      <c r="M427" s="118">
        <f t="shared" si="30"/>
        <v>0</v>
      </c>
      <c r="N427" s="117"/>
      <c r="O427" s="117"/>
      <c r="P427" s="118">
        <f t="shared" si="28"/>
        <v>0</v>
      </c>
      <c r="Q427" s="117"/>
      <c r="R427" s="117"/>
      <c r="S427" s="118">
        <f t="shared" si="29"/>
        <v>0</v>
      </c>
    </row>
    <row r="428" spans="8:19" ht="14.25">
      <c r="H428" s="117"/>
      <c r="I428" s="117"/>
      <c r="J428" s="118">
        <f t="shared" si="27"/>
        <v>0</v>
      </c>
      <c r="K428" s="117"/>
      <c r="L428" s="117"/>
      <c r="M428" s="118">
        <f t="shared" si="30"/>
        <v>0</v>
      </c>
      <c r="N428" s="117"/>
      <c r="O428" s="117"/>
      <c r="P428" s="118">
        <f t="shared" si="28"/>
        <v>0</v>
      </c>
      <c r="Q428" s="117"/>
      <c r="R428" s="117"/>
      <c r="S428" s="118">
        <f t="shared" si="29"/>
        <v>0</v>
      </c>
    </row>
    <row r="429" spans="8:19" ht="14.25">
      <c r="H429" s="117"/>
      <c r="I429" s="117"/>
      <c r="J429" s="118">
        <f t="shared" si="27"/>
        <v>0</v>
      </c>
      <c r="K429" s="117"/>
      <c r="L429" s="117"/>
      <c r="M429" s="118">
        <f t="shared" si="30"/>
        <v>0</v>
      </c>
      <c r="N429" s="117"/>
      <c r="O429" s="117"/>
      <c r="P429" s="118">
        <f t="shared" si="28"/>
        <v>0</v>
      </c>
      <c r="Q429" s="117"/>
      <c r="R429" s="117"/>
      <c r="S429" s="118">
        <f t="shared" si="29"/>
        <v>0</v>
      </c>
    </row>
    <row r="430" spans="8:19" ht="14.25">
      <c r="H430" s="117"/>
      <c r="I430" s="117"/>
      <c r="J430" s="118">
        <f t="shared" si="27"/>
        <v>0</v>
      </c>
      <c r="K430" s="117"/>
      <c r="L430" s="117"/>
      <c r="M430" s="118">
        <f t="shared" si="30"/>
        <v>0</v>
      </c>
      <c r="N430" s="117"/>
      <c r="O430" s="117"/>
      <c r="P430" s="118">
        <f t="shared" si="28"/>
        <v>0</v>
      </c>
      <c r="Q430" s="117"/>
      <c r="R430" s="117"/>
      <c r="S430" s="118">
        <f t="shared" si="29"/>
        <v>0</v>
      </c>
    </row>
    <row r="431" spans="8:19" ht="14.25">
      <c r="H431" s="117"/>
      <c r="I431" s="117"/>
      <c r="J431" s="118">
        <f t="shared" si="27"/>
        <v>0</v>
      </c>
      <c r="K431" s="117"/>
      <c r="L431" s="117"/>
      <c r="M431" s="118">
        <f t="shared" si="30"/>
        <v>0</v>
      </c>
      <c r="N431" s="117"/>
      <c r="O431" s="117"/>
      <c r="P431" s="118">
        <f t="shared" si="28"/>
        <v>0</v>
      </c>
      <c r="Q431" s="117"/>
      <c r="R431" s="117"/>
      <c r="S431" s="118">
        <f t="shared" si="29"/>
        <v>0</v>
      </c>
    </row>
    <row r="432" spans="8:19" ht="14.25">
      <c r="H432" s="117"/>
      <c r="I432" s="117"/>
      <c r="J432" s="118">
        <f t="shared" si="27"/>
        <v>0</v>
      </c>
      <c r="K432" s="117"/>
      <c r="L432" s="117"/>
      <c r="M432" s="118">
        <f t="shared" si="30"/>
        <v>0</v>
      </c>
      <c r="N432" s="117"/>
      <c r="O432" s="117"/>
      <c r="P432" s="118">
        <f t="shared" si="28"/>
        <v>0</v>
      </c>
      <c r="Q432" s="117"/>
      <c r="R432" s="117"/>
      <c r="S432" s="118">
        <f t="shared" si="29"/>
        <v>0</v>
      </c>
    </row>
    <row r="433" spans="8:19" ht="14.25">
      <c r="H433" s="117"/>
      <c r="I433" s="117"/>
      <c r="J433" s="118">
        <f t="shared" si="27"/>
        <v>0</v>
      </c>
      <c r="K433" s="117"/>
      <c r="L433" s="117"/>
      <c r="M433" s="118">
        <f t="shared" si="30"/>
        <v>0</v>
      </c>
      <c r="N433" s="117"/>
      <c r="O433" s="117"/>
      <c r="P433" s="118">
        <f t="shared" si="28"/>
        <v>0</v>
      </c>
      <c r="Q433" s="117"/>
      <c r="R433" s="117"/>
      <c r="S433" s="118">
        <f t="shared" si="29"/>
        <v>0</v>
      </c>
    </row>
    <row r="434" spans="8:19" ht="14.25">
      <c r="H434" s="117"/>
      <c r="I434" s="117"/>
      <c r="J434" s="118">
        <f t="shared" si="27"/>
        <v>0</v>
      </c>
      <c r="K434" s="117"/>
      <c r="L434" s="117"/>
      <c r="M434" s="118">
        <f t="shared" si="30"/>
        <v>0</v>
      </c>
      <c r="N434" s="117"/>
      <c r="O434" s="117"/>
      <c r="P434" s="118">
        <f t="shared" si="28"/>
        <v>0</v>
      </c>
      <c r="Q434" s="117"/>
      <c r="R434" s="117"/>
      <c r="S434" s="118">
        <f t="shared" si="29"/>
        <v>0</v>
      </c>
    </row>
    <row r="435" spans="8:19" ht="14.25">
      <c r="H435" s="117"/>
      <c r="I435" s="117"/>
      <c r="J435" s="118">
        <f t="shared" si="27"/>
        <v>0</v>
      </c>
      <c r="K435" s="117"/>
      <c r="L435" s="117"/>
      <c r="M435" s="118">
        <f t="shared" si="30"/>
        <v>0</v>
      </c>
      <c r="N435" s="117"/>
      <c r="O435" s="117"/>
      <c r="P435" s="118">
        <f t="shared" si="28"/>
        <v>0</v>
      </c>
      <c r="Q435" s="117"/>
      <c r="R435" s="117"/>
      <c r="S435" s="118">
        <f t="shared" si="29"/>
        <v>0</v>
      </c>
    </row>
    <row r="436" spans="8:19" ht="14.25">
      <c r="H436" s="117"/>
      <c r="I436" s="117"/>
      <c r="J436" s="118">
        <f t="shared" si="27"/>
        <v>0</v>
      </c>
      <c r="K436" s="117"/>
      <c r="L436" s="117"/>
      <c r="M436" s="118">
        <f t="shared" si="30"/>
        <v>0</v>
      </c>
      <c r="N436" s="117"/>
      <c r="O436" s="117"/>
      <c r="P436" s="118">
        <f t="shared" si="28"/>
        <v>0</v>
      </c>
      <c r="Q436" s="117"/>
      <c r="R436" s="117"/>
      <c r="S436" s="118">
        <f t="shared" si="29"/>
        <v>0</v>
      </c>
    </row>
    <row r="437" spans="8:19" ht="14.25">
      <c r="H437" s="117"/>
      <c r="I437" s="117"/>
      <c r="J437" s="118">
        <f t="shared" si="27"/>
        <v>0</v>
      </c>
      <c r="K437" s="117"/>
      <c r="L437" s="117"/>
      <c r="M437" s="118">
        <f t="shared" si="30"/>
        <v>0</v>
      </c>
      <c r="N437" s="117"/>
      <c r="O437" s="117"/>
      <c r="P437" s="118">
        <f t="shared" si="28"/>
        <v>0</v>
      </c>
      <c r="Q437" s="117"/>
      <c r="R437" s="117"/>
      <c r="S437" s="118">
        <f t="shared" si="29"/>
        <v>0</v>
      </c>
    </row>
    <row r="438" spans="8:19" ht="14.25">
      <c r="H438" s="117"/>
      <c r="I438" s="117"/>
      <c r="J438" s="118">
        <f t="shared" si="27"/>
        <v>0</v>
      </c>
      <c r="K438" s="117"/>
      <c r="L438" s="117"/>
      <c r="M438" s="118">
        <f t="shared" si="30"/>
        <v>0</v>
      </c>
      <c r="N438" s="117"/>
      <c r="O438" s="117"/>
      <c r="P438" s="118">
        <f t="shared" si="28"/>
        <v>0</v>
      </c>
      <c r="Q438" s="117"/>
      <c r="R438" s="117"/>
      <c r="S438" s="118">
        <f t="shared" si="29"/>
        <v>0</v>
      </c>
    </row>
    <row r="439" spans="8:19" ht="14.25">
      <c r="H439" s="117"/>
      <c r="I439" s="117"/>
      <c r="J439" s="118">
        <f t="shared" si="27"/>
        <v>0</v>
      </c>
      <c r="K439" s="117"/>
      <c r="L439" s="117"/>
      <c r="M439" s="118">
        <f t="shared" si="30"/>
        <v>0</v>
      </c>
      <c r="N439" s="117"/>
      <c r="O439" s="117"/>
      <c r="P439" s="118">
        <f t="shared" si="28"/>
        <v>0</v>
      </c>
      <c r="Q439" s="117"/>
      <c r="R439" s="117"/>
      <c r="S439" s="118">
        <f t="shared" si="29"/>
        <v>0</v>
      </c>
    </row>
    <row r="440" spans="8:19" ht="14.25">
      <c r="H440" s="117"/>
      <c r="I440" s="117"/>
      <c r="J440" s="118">
        <f t="shared" si="27"/>
        <v>0</v>
      </c>
      <c r="K440" s="117"/>
      <c r="L440" s="117"/>
      <c r="M440" s="118">
        <f t="shared" si="30"/>
        <v>0</v>
      </c>
      <c r="N440" s="117"/>
      <c r="O440" s="117"/>
      <c r="P440" s="118">
        <f t="shared" si="28"/>
        <v>0</v>
      </c>
      <c r="Q440" s="117"/>
      <c r="R440" s="117"/>
      <c r="S440" s="118">
        <f t="shared" si="29"/>
        <v>0</v>
      </c>
    </row>
    <row r="441" spans="8:19" ht="14.25">
      <c r="H441" s="117"/>
      <c r="I441" s="117"/>
      <c r="J441" s="118">
        <f t="shared" si="27"/>
        <v>0</v>
      </c>
      <c r="K441" s="117"/>
      <c r="L441" s="117"/>
      <c r="M441" s="118">
        <f t="shared" si="30"/>
        <v>0</v>
      </c>
      <c r="N441" s="117"/>
      <c r="O441" s="117"/>
      <c r="P441" s="118">
        <f t="shared" si="28"/>
        <v>0</v>
      </c>
      <c r="Q441" s="117"/>
      <c r="R441" s="117"/>
      <c r="S441" s="118">
        <f t="shared" si="29"/>
        <v>0</v>
      </c>
    </row>
    <row r="442" spans="8:19" ht="14.25">
      <c r="H442" s="117"/>
      <c r="I442" s="117"/>
      <c r="J442" s="118">
        <f t="shared" si="27"/>
        <v>0</v>
      </c>
      <c r="K442" s="117"/>
      <c r="L442" s="117"/>
      <c r="M442" s="118">
        <f t="shared" si="30"/>
        <v>0</v>
      </c>
      <c r="N442" s="117"/>
      <c r="O442" s="117"/>
      <c r="P442" s="118">
        <f t="shared" si="28"/>
        <v>0</v>
      </c>
      <c r="Q442" s="117"/>
      <c r="R442" s="117"/>
      <c r="S442" s="118">
        <f t="shared" si="29"/>
        <v>0</v>
      </c>
    </row>
    <row r="443" spans="8:19" ht="14.25">
      <c r="H443" s="117"/>
      <c r="I443" s="117"/>
      <c r="J443" s="118">
        <f t="shared" si="27"/>
        <v>0</v>
      </c>
      <c r="K443" s="117"/>
      <c r="L443" s="117"/>
      <c r="M443" s="118">
        <f t="shared" si="30"/>
        <v>0</v>
      </c>
      <c r="N443" s="117"/>
      <c r="O443" s="117"/>
      <c r="P443" s="118">
        <f t="shared" si="28"/>
        <v>0</v>
      </c>
      <c r="Q443" s="117"/>
      <c r="R443" s="117"/>
      <c r="S443" s="118">
        <f t="shared" si="29"/>
        <v>0</v>
      </c>
    </row>
    <row r="444" spans="8:19" ht="14.25">
      <c r="H444" s="117"/>
      <c r="I444" s="117"/>
      <c r="J444" s="118">
        <f t="shared" si="27"/>
        <v>0</v>
      </c>
      <c r="K444" s="117"/>
      <c r="L444" s="117"/>
      <c r="M444" s="118">
        <f t="shared" si="30"/>
        <v>0</v>
      </c>
      <c r="N444" s="117"/>
      <c r="O444" s="117"/>
      <c r="P444" s="118">
        <f t="shared" si="28"/>
        <v>0</v>
      </c>
      <c r="Q444" s="117"/>
      <c r="R444" s="117"/>
      <c r="S444" s="118">
        <f t="shared" si="29"/>
        <v>0</v>
      </c>
    </row>
    <row r="445" spans="8:19" ht="14.25">
      <c r="H445" s="117"/>
      <c r="I445" s="117"/>
      <c r="J445" s="118">
        <f t="shared" si="27"/>
        <v>0</v>
      </c>
      <c r="K445" s="117"/>
      <c r="L445" s="117"/>
      <c r="M445" s="118">
        <f t="shared" si="30"/>
        <v>0</v>
      </c>
      <c r="N445" s="117"/>
      <c r="O445" s="117"/>
      <c r="P445" s="118">
        <f t="shared" si="28"/>
        <v>0</v>
      </c>
      <c r="Q445" s="117"/>
      <c r="R445" s="117"/>
      <c r="S445" s="118">
        <f t="shared" si="29"/>
        <v>0</v>
      </c>
    </row>
    <row r="446" spans="8:19" ht="14.25">
      <c r="H446" s="117"/>
      <c r="I446" s="117"/>
      <c r="J446" s="118">
        <f t="shared" si="27"/>
        <v>0</v>
      </c>
      <c r="K446" s="117"/>
      <c r="L446" s="117"/>
      <c r="M446" s="118">
        <f t="shared" si="30"/>
        <v>0</v>
      </c>
      <c r="N446" s="117"/>
      <c r="O446" s="117"/>
      <c r="P446" s="118">
        <f t="shared" si="28"/>
        <v>0</v>
      </c>
      <c r="Q446" s="117"/>
      <c r="R446" s="117"/>
      <c r="S446" s="118">
        <f t="shared" si="29"/>
        <v>0</v>
      </c>
    </row>
    <row r="447" spans="8:19" ht="14.25">
      <c r="H447" s="117"/>
      <c r="I447" s="117"/>
      <c r="J447" s="118">
        <f t="shared" si="27"/>
        <v>0</v>
      </c>
      <c r="K447" s="117"/>
      <c r="L447" s="117"/>
      <c r="M447" s="118">
        <f t="shared" si="30"/>
        <v>0</v>
      </c>
      <c r="N447" s="117"/>
      <c r="O447" s="117"/>
      <c r="P447" s="118">
        <f t="shared" si="28"/>
        <v>0</v>
      </c>
      <c r="Q447" s="117"/>
      <c r="R447" s="117"/>
      <c r="S447" s="118">
        <f t="shared" si="29"/>
        <v>0</v>
      </c>
    </row>
    <row r="448" spans="8:19" ht="14.25">
      <c r="H448" s="117"/>
      <c r="I448" s="117"/>
      <c r="J448" s="118">
        <f t="shared" si="27"/>
        <v>0</v>
      </c>
      <c r="K448" s="117"/>
      <c r="L448" s="117"/>
      <c r="M448" s="118">
        <f t="shared" si="30"/>
        <v>0</v>
      </c>
      <c r="N448" s="117"/>
      <c r="O448" s="117"/>
      <c r="P448" s="118">
        <f t="shared" si="28"/>
        <v>0</v>
      </c>
      <c r="Q448" s="117"/>
      <c r="R448" s="117"/>
      <c r="S448" s="118">
        <f t="shared" si="29"/>
        <v>0</v>
      </c>
    </row>
    <row r="449" spans="8:19" ht="14.25">
      <c r="H449" s="117"/>
      <c r="I449" s="117"/>
      <c r="J449" s="118">
        <f t="shared" si="27"/>
        <v>0</v>
      </c>
      <c r="K449" s="117"/>
      <c r="L449" s="117"/>
      <c r="M449" s="118">
        <f t="shared" si="30"/>
        <v>0</v>
      </c>
      <c r="N449" s="117"/>
      <c r="O449" s="117"/>
      <c r="P449" s="118">
        <f t="shared" si="28"/>
        <v>0</v>
      </c>
      <c r="Q449" s="117"/>
      <c r="R449" s="117"/>
      <c r="S449" s="118">
        <f t="shared" si="29"/>
        <v>0</v>
      </c>
    </row>
    <row r="450" spans="8:19" ht="14.25">
      <c r="H450" s="117"/>
      <c r="I450" s="117"/>
      <c r="J450" s="118">
        <f t="shared" si="27"/>
        <v>0</v>
      </c>
      <c r="K450" s="117"/>
      <c r="L450" s="117"/>
      <c r="M450" s="118">
        <f t="shared" si="30"/>
        <v>0</v>
      </c>
      <c r="N450" s="117"/>
      <c r="O450" s="117"/>
      <c r="P450" s="118">
        <f t="shared" si="28"/>
        <v>0</v>
      </c>
      <c r="Q450" s="117"/>
      <c r="R450" s="117"/>
      <c r="S450" s="118">
        <f t="shared" si="29"/>
        <v>0</v>
      </c>
    </row>
    <row r="451" spans="8:19" ht="14.25">
      <c r="H451" s="117"/>
      <c r="I451" s="117"/>
      <c r="J451" s="118">
        <f t="shared" si="27"/>
        <v>0</v>
      </c>
      <c r="K451" s="117"/>
      <c r="L451" s="117"/>
      <c r="M451" s="118">
        <f t="shared" si="30"/>
        <v>0</v>
      </c>
      <c r="N451" s="117"/>
      <c r="O451" s="117"/>
      <c r="P451" s="118">
        <f t="shared" si="28"/>
        <v>0</v>
      </c>
      <c r="Q451" s="117"/>
      <c r="R451" s="117"/>
      <c r="S451" s="118">
        <f t="shared" si="29"/>
        <v>0</v>
      </c>
    </row>
    <row r="452" spans="8:19" ht="14.25">
      <c r="H452" s="117"/>
      <c r="I452" s="117"/>
      <c r="J452" s="118">
        <f t="shared" si="27"/>
        <v>0</v>
      </c>
      <c r="K452" s="117"/>
      <c r="L452" s="117"/>
      <c r="M452" s="118">
        <f t="shared" si="30"/>
        <v>0</v>
      </c>
      <c r="N452" s="117"/>
      <c r="O452" s="117"/>
      <c r="P452" s="118">
        <f t="shared" si="28"/>
        <v>0</v>
      </c>
      <c r="Q452" s="117"/>
      <c r="R452" s="117"/>
      <c r="S452" s="118">
        <f t="shared" si="29"/>
        <v>0</v>
      </c>
    </row>
    <row r="453" spans="8:19" ht="14.25">
      <c r="H453" s="117"/>
      <c r="I453" s="117"/>
      <c r="J453" s="118">
        <f t="shared" ref="J453:J505" si="31">H453*I453</f>
        <v>0</v>
      </c>
      <c r="K453" s="117"/>
      <c r="L453" s="117"/>
      <c r="M453" s="118">
        <f t="shared" si="30"/>
        <v>0</v>
      </c>
      <c r="N453" s="117"/>
      <c r="O453" s="117"/>
      <c r="P453" s="118">
        <f t="shared" si="28"/>
        <v>0</v>
      </c>
      <c r="Q453" s="117"/>
      <c r="R453" s="117"/>
      <c r="S453" s="118">
        <f t="shared" si="29"/>
        <v>0</v>
      </c>
    </row>
    <row r="454" spans="8:19" ht="14.25">
      <c r="H454" s="117"/>
      <c r="I454" s="117"/>
      <c r="J454" s="118">
        <f t="shared" si="31"/>
        <v>0</v>
      </c>
      <c r="K454" s="117"/>
      <c r="L454" s="117"/>
      <c r="M454" s="118">
        <f t="shared" si="30"/>
        <v>0</v>
      </c>
      <c r="N454" s="117"/>
      <c r="O454" s="117"/>
      <c r="P454" s="118">
        <f t="shared" si="28"/>
        <v>0</v>
      </c>
      <c r="Q454" s="117"/>
      <c r="R454" s="117"/>
      <c r="S454" s="118">
        <f t="shared" si="29"/>
        <v>0</v>
      </c>
    </row>
    <row r="455" spans="8:19" ht="14.25">
      <c r="H455" s="117"/>
      <c r="I455" s="117"/>
      <c r="J455" s="118">
        <f t="shared" si="31"/>
        <v>0</v>
      </c>
      <c r="K455" s="117"/>
      <c r="L455" s="117"/>
      <c r="M455" s="118">
        <f t="shared" si="30"/>
        <v>0</v>
      </c>
      <c r="N455" s="117"/>
      <c r="O455" s="117"/>
      <c r="P455" s="118">
        <f t="shared" si="28"/>
        <v>0</v>
      </c>
      <c r="Q455" s="117"/>
      <c r="R455" s="117"/>
      <c r="S455" s="118">
        <f t="shared" si="29"/>
        <v>0</v>
      </c>
    </row>
    <row r="456" spans="8:19" ht="14.25">
      <c r="H456" s="117"/>
      <c r="I456" s="117"/>
      <c r="J456" s="118">
        <f t="shared" si="31"/>
        <v>0</v>
      </c>
      <c r="K456" s="117"/>
      <c r="L456" s="117"/>
      <c r="M456" s="118">
        <f t="shared" si="30"/>
        <v>0</v>
      </c>
      <c r="N456" s="117"/>
      <c r="O456" s="117"/>
      <c r="P456" s="118">
        <f t="shared" si="28"/>
        <v>0</v>
      </c>
      <c r="Q456" s="117"/>
      <c r="R456" s="117"/>
      <c r="S456" s="118">
        <f t="shared" si="29"/>
        <v>0</v>
      </c>
    </row>
    <row r="457" spans="8:19" ht="14.25">
      <c r="H457" s="117"/>
      <c r="I457" s="117"/>
      <c r="J457" s="118">
        <f t="shared" si="31"/>
        <v>0</v>
      </c>
      <c r="K457" s="117"/>
      <c r="L457" s="117"/>
      <c r="M457" s="118">
        <f t="shared" si="30"/>
        <v>0</v>
      </c>
      <c r="N457" s="117"/>
      <c r="O457" s="117"/>
      <c r="P457" s="118">
        <f t="shared" si="28"/>
        <v>0</v>
      </c>
      <c r="Q457" s="117"/>
      <c r="R457" s="117"/>
      <c r="S457" s="118">
        <f t="shared" si="29"/>
        <v>0</v>
      </c>
    </row>
    <row r="458" spans="8:19" ht="14.25">
      <c r="H458" s="117"/>
      <c r="I458" s="117"/>
      <c r="J458" s="118">
        <f t="shared" si="31"/>
        <v>0</v>
      </c>
      <c r="K458" s="117"/>
      <c r="L458" s="117"/>
      <c r="M458" s="118">
        <f t="shared" si="30"/>
        <v>0</v>
      </c>
      <c r="N458" s="117"/>
      <c r="O458" s="117"/>
      <c r="P458" s="118">
        <f t="shared" si="28"/>
        <v>0</v>
      </c>
      <c r="Q458" s="117"/>
      <c r="R458" s="117"/>
      <c r="S458" s="118">
        <f t="shared" si="29"/>
        <v>0</v>
      </c>
    </row>
    <row r="459" spans="8:19" ht="14.25">
      <c r="H459" s="117"/>
      <c r="I459" s="117"/>
      <c r="J459" s="118">
        <f t="shared" si="31"/>
        <v>0</v>
      </c>
      <c r="K459" s="117"/>
      <c r="L459" s="117"/>
      <c r="M459" s="118">
        <f t="shared" si="30"/>
        <v>0</v>
      </c>
      <c r="N459" s="117"/>
      <c r="O459" s="117"/>
      <c r="P459" s="118">
        <f t="shared" si="28"/>
        <v>0</v>
      </c>
      <c r="Q459" s="117"/>
      <c r="R459" s="117"/>
      <c r="S459" s="118">
        <f t="shared" si="29"/>
        <v>0</v>
      </c>
    </row>
    <row r="460" spans="8:19" ht="14.25">
      <c r="H460" s="117"/>
      <c r="I460" s="117"/>
      <c r="J460" s="118">
        <f t="shared" si="31"/>
        <v>0</v>
      </c>
      <c r="K460" s="117"/>
      <c r="L460" s="117"/>
      <c r="M460" s="118">
        <f t="shared" si="30"/>
        <v>0</v>
      </c>
      <c r="N460" s="117"/>
      <c r="O460" s="117"/>
      <c r="P460" s="118">
        <f t="shared" si="28"/>
        <v>0</v>
      </c>
      <c r="Q460" s="117"/>
      <c r="R460" s="117"/>
      <c r="S460" s="118">
        <f t="shared" si="29"/>
        <v>0</v>
      </c>
    </row>
    <row r="461" spans="8:19" ht="14.25">
      <c r="H461" s="117"/>
      <c r="I461" s="117"/>
      <c r="J461" s="118">
        <f t="shared" si="31"/>
        <v>0</v>
      </c>
      <c r="K461" s="117"/>
      <c r="L461" s="117"/>
      <c r="M461" s="118">
        <f t="shared" si="30"/>
        <v>0</v>
      </c>
      <c r="N461" s="117"/>
      <c r="O461" s="117"/>
      <c r="P461" s="118">
        <f t="shared" ref="P461:P524" si="32">N461*O461</f>
        <v>0</v>
      </c>
      <c r="Q461" s="117"/>
      <c r="R461" s="117"/>
      <c r="S461" s="118">
        <f t="shared" si="29"/>
        <v>0</v>
      </c>
    </row>
    <row r="462" spans="8:19" ht="14.25">
      <c r="H462" s="117"/>
      <c r="I462" s="117"/>
      <c r="J462" s="118">
        <f t="shared" si="31"/>
        <v>0</v>
      </c>
      <c r="K462" s="117"/>
      <c r="L462" s="117"/>
      <c r="M462" s="118">
        <f t="shared" si="30"/>
        <v>0</v>
      </c>
      <c r="N462" s="117"/>
      <c r="O462" s="117"/>
      <c r="P462" s="118">
        <f t="shared" si="32"/>
        <v>0</v>
      </c>
      <c r="Q462" s="117"/>
      <c r="R462" s="117"/>
      <c r="S462" s="118">
        <f t="shared" ref="S462:S525" si="33">Q462*R462</f>
        <v>0</v>
      </c>
    </row>
    <row r="463" spans="8:19" ht="14.25">
      <c r="H463" s="117"/>
      <c r="I463" s="117"/>
      <c r="J463" s="118">
        <f t="shared" si="31"/>
        <v>0</v>
      </c>
      <c r="K463" s="117"/>
      <c r="L463" s="117"/>
      <c r="M463" s="118">
        <f t="shared" ref="M463:M526" si="34">K463*L463</f>
        <v>0</v>
      </c>
      <c r="N463" s="117"/>
      <c r="O463" s="117"/>
      <c r="P463" s="118">
        <f t="shared" si="32"/>
        <v>0</v>
      </c>
      <c r="Q463" s="117"/>
      <c r="R463" s="117"/>
      <c r="S463" s="118">
        <f t="shared" si="33"/>
        <v>0</v>
      </c>
    </row>
    <row r="464" spans="8:19" ht="14.25">
      <c r="H464" s="117"/>
      <c r="I464" s="117"/>
      <c r="J464" s="118">
        <f t="shared" si="31"/>
        <v>0</v>
      </c>
      <c r="K464" s="117"/>
      <c r="L464" s="117"/>
      <c r="M464" s="118">
        <f t="shared" si="34"/>
        <v>0</v>
      </c>
      <c r="N464" s="117"/>
      <c r="O464" s="117"/>
      <c r="P464" s="118">
        <f t="shared" si="32"/>
        <v>0</v>
      </c>
      <c r="Q464" s="117"/>
      <c r="R464" s="117"/>
      <c r="S464" s="118">
        <f t="shared" si="33"/>
        <v>0</v>
      </c>
    </row>
    <row r="465" spans="8:19" ht="14.25">
      <c r="H465" s="117"/>
      <c r="I465" s="117"/>
      <c r="J465" s="118">
        <f t="shared" si="31"/>
        <v>0</v>
      </c>
      <c r="K465" s="117"/>
      <c r="L465" s="117"/>
      <c r="M465" s="118">
        <f t="shared" si="34"/>
        <v>0</v>
      </c>
      <c r="N465" s="117"/>
      <c r="O465" s="117"/>
      <c r="P465" s="118">
        <f t="shared" si="32"/>
        <v>0</v>
      </c>
      <c r="Q465" s="117"/>
      <c r="R465" s="117"/>
      <c r="S465" s="118">
        <f t="shared" si="33"/>
        <v>0</v>
      </c>
    </row>
    <row r="466" spans="8:19" ht="14.25">
      <c r="H466" s="117"/>
      <c r="I466" s="117"/>
      <c r="J466" s="118">
        <f t="shared" si="31"/>
        <v>0</v>
      </c>
      <c r="K466" s="117"/>
      <c r="L466" s="117"/>
      <c r="M466" s="118">
        <f t="shared" si="34"/>
        <v>0</v>
      </c>
      <c r="N466" s="117"/>
      <c r="O466" s="117"/>
      <c r="P466" s="118">
        <f t="shared" si="32"/>
        <v>0</v>
      </c>
      <c r="Q466" s="117"/>
      <c r="R466" s="117"/>
      <c r="S466" s="118">
        <f t="shared" si="33"/>
        <v>0</v>
      </c>
    </row>
    <row r="467" spans="8:19" ht="14.25">
      <c r="H467" s="117"/>
      <c r="I467" s="117"/>
      <c r="J467" s="118">
        <f t="shared" si="31"/>
        <v>0</v>
      </c>
      <c r="K467" s="117"/>
      <c r="L467" s="117"/>
      <c r="M467" s="118">
        <f t="shared" si="34"/>
        <v>0</v>
      </c>
      <c r="N467" s="117"/>
      <c r="O467" s="117"/>
      <c r="P467" s="118">
        <f t="shared" si="32"/>
        <v>0</v>
      </c>
      <c r="Q467" s="117"/>
      <c r="R467" s="117"/>
      <c r="S467" s="118">
        <f t="shared" si="33"/>
        <v>0</v>
      </c>
    </row>
    <row r="468" spans="8:19" ht="14.25">
      <c r="H468" s="117"/>
      <c r="I468" s="117"/>
      <c r="J468" s="118">
        <f t="shared" si="31"/>
        <v>0</v>
      </c>
      <c r="K468" s="117"/>
      <c r="L468" s="117"/>
      <c r="M468" s="118">
        <f t="shared" si="34"/>
        <v>0</v>
      </c>
      <c r="N468" s="117"/>
      <c r="O468" s="117"/>
      <c r="P468" s="118">
        <f t="shared" si="32"/>
        <v>0</v>
      </c>
      <c r="Q468" s="117"/>
      <c r="R468" s="117"/>
      <c r="S468" s="118">
        <f t="shared" si="33"/>
        <v>0</v>
      </c>
    </row>
    <row r="469" spans="8:19" ht="14.25">
      <c r="H469" s="117"/>
      <c r="I469" s="117"/>
      <c r="J469" s="118">
        <f t="shared" si="31"/>
        <v>0</v>
      </c>
      <c r="K469" s="117"/>
      <c r="L469" s="117"/>
      <c r="M469" s="118">
        <f t="shared" si="34"/>
        <v>0</v>
      </c>
      <c r="N469" s="117"/>
      <c r="O469" s="117"/>
      <c r="P469" s="118">
        <f t="shared" si="32"/>
        <v>0</v>
      </c>
      <c r="Q469" s="117"/>
      <c r="R469" s="117"/>
      <c r="S469" s="118">
        <f t="shared" si="33"/>
        <v>0</v>
      </c>
    </row>
    <row r="470" spans="8:19" ht="14.25">
      <c r="H470" s="117"/>
      <c r="I470" s="117"/>
      <c r="J470" s="118">
        <f t="shared" si="31"/>
        <v>0</v>
      </c>
      <c r="K470" s="117"/>
      <c r="L470" s="117"/>
      <c r="M470" s="118">
        <f t="shared" si="34"/>
        <v>0</v>
      </c>
      <c r="N470" s="117"/>
      <c r="O470" s="117"/>
      <c r="P470" s="118">
        <f t="shared" si="32"/>
        <v>0</v>
      </c>
      <c r="Q470" s="117"/>
      <c r="R470" s="117"/>
      <c r="S470" s="118">
        <f t="shared" si="33"/>
        <v>0</v>
      </c>
    </row>
    <row r="471" spans="8:19" ht="14.25">
      <c r="H471" s="117"/>
      <c r="I471" s="117"/>
      <c r="J471" s="118">
        <f t="shared" si="31"/>
        <v>0</v>
      </c>
      <c r="K471" s="117"/>
      <c r="L471" s="117"/>
      <c r="M471" s="118">
        <f t="shared" si="34"/>
        <v>0</v>
      </c>
      <c r="N471" s="117"/>
      <c r="O471" s="117"/>
      <c r="P471" s="118">
        <f t="shared" si="32"/>
        <v>0</v>
      </c>
      <c r="Q471" s="117"/>
      <c r="R471" s="117"/>
      <c r="S471" s="118">
        <f t="shared" si="33"/>
        <v>0</v>
      </c>
    </row>
    <row r="472" spans="8:19" ht="14.25">
      <c r="H472" s="117"/>
      <c r="I472" s="117"/>
      <c r="J472" s="118">
        <f t="shared" si="31"/>
        <v>0</v>
      </c>
      <c r="K472" s="117"/>
      <c r="L472" s="117"/>
      <c r="M472" s="118">
        <f t="shared" si="34"/>
        <v>0</v>
      </c>
      <c r="N472" s="117"/>
      <c r="O472" s="117"/>
      <c r="P472" s="118">
        <f t="shared" si="32"/>
        <v>0</v>
      </c>
      <c r="Q472" s="117"/>
      <c r="R472" s="117"/>
      <c r="S472" s="118">
        <f t="shared" si="33"/>
        <v>0</v>
      </c>
    </row>
    <row r="473" spans="8:19" ht="14.25">
      <c r="H473" s="117"/>
      <c r="I473" s="117"/>
      <c r="J473" s="118">
        <f t="shared" si="31"/>
        <v>0</v>
      </c>
      <c r="K473" s="117"/>
      <c r="L473" s="117"/>
      <c r="M473" s="118">
        <f t="shared" si="34"/>
        <v>0</v>
      </c>
      <c r="N473" s="117"/>
      <c r="O473" s="117"/>
      <c r="P473" s="118">
        <f t="shared" si="32"/>
        <v>0</v>
      </c>
      <c r="Q473" s="117"/>
      <c r="R473" s="117"/>
      <c r="S473" s="118">
        <f t="shared" si="33"/>
        <v>0</v>
      </c>
    </row>
    <row r="474" spans="8:19" ht="14.25">
      <c r="H474" s="117"/>
      <c r="I474" s="117"/>
      <c r="J474" s="118">
        <f t="shared" si="31"/>
        <v>0</v>
      </c>
      <c r="K474" s="117"/>
      <c r="L474" s="117"/>
      <c r="M474" s="118">
        <f t="shared" si="34"/>
        <v>0</v>
      </c>
      <c r="N474" s="117"/>
      <c r="O474" s="117"/>
      <c r="P474" s="118">
        <f t="shared" si="32"/>
        <v>0</v>
      </c>
      <c r="Q474" s="117"/>
      <c r="R474" s="117"/>
      <c r="S474" s="118">
        <f t="shared" si="33"/>
        <v>0</v>
      </c>
    </row>
    <row r="475" spans="8:19" ht="14.25">
      <c r="H475" s="117"/>
      <c r="I475" s="117"/>
      <c r="J475" s="118">
        <f t="shared" si="31"/>
        <v>0</v>
      </c>
      <c r="K475" s="117"/>
      <c r="L475" s="117"/>
      <c r="M475" s="118">
        <f t="shared" si="34"/>
        <v>0</v>
      </c>
      <c r="N475" s="117"/>
      <c r="O475" s="117"/>
      <c r="P475" s="118">
        <f t="shared" si="32"/>
        <v>0</v>
      </c>
      <c r="Q475" s="117"/>
      <c r="R475" s="117"/>
      <c r="S475" s="118">
        <f t="shared" si="33"/>
        <v>0</v>
      </c>
    </row>
    <row r="476" spans="8:19" ht="14.25">
      <c r="H476" s="117"/>
      <c r="I476" s="117"/>
      <c r="J476" s="118">
        <f t="shared" si="31"/>
        <v>0</v>
      </c>
      <c r="K476" s="117"/>
      <c r="L476" s="117"/>
      <c r="M476" s="118">
        <f t="shared" si="34"/>
        <v>0</v>
      </c>
      <c r="N476" s="117"/>
      <c r="O476" s="117"/>
      <c r="P476" s="118">
        <f t="shared" si="32"/>
        <v>0</v>
      </c>
      <c r="Q476" s="117"/>
      <c r="R476" s="117"/>
      <c r="S476" s="118">
        <f t="shared" si="33"/>
        <v>0</v>
      </c>
    </row>
    <row r="477" spans="8:19" ht="14.25">
      <c r="H477" s="117"/>
      <c r="I477" s="117"/>
      <c r="J477" s="118">
        <f t="shared" si="31"/>
        <v>0</v>
      </c>
      <c r="K477" s="117"/>
      <c r="L477" s="117"/>
      <c r="M477" s="118">
        <f t="shared" si="34"/>
        <v>0</v>
      </c>
      <c r="N477" s="117"/>
      <c r="O477" s="117"/>
      <c r="P477" s="118">
        <f t="shared" si="32"/>
        <v>0</v>
      </c>
      <c r="Q477" s="117"/>
      <c r="R477" s="117"/>
      <c r="S477" s="118">
        <f t="shared" si="33"/>
        <v>0</v>
      </c>
    </row>
    <row r="478" spans="8:19" ht="14.25">
      <c r="H478" s="117"/>
      <c r="I478" s="117"/>
      <c r="J478" s="118">
        <f t="shared" si="31"/>
        <v>0</v>
      </c>
      <c r="K478" s="117"/>
      <c r="L478" s="117"/>
      <c r="M478" s="118">
        <f t="shared" si="34"/>
        <v>0</v>
      </c>
      <c r="N478" s="117"/>
      <c r="O478" s="117"/>
      <c r="P478" s="118">
        <f t="shared" si="32"/>
        <v>0</v>
      </c>
      <c r="Q478" s="117"/>
      <c r="R478" s="117"/>
      <c r="S478" s="118">
        <f t="shared" si="33"/>
        <v>0</v>
      </c>
    </row>
    <row r="479" spans="8:19" ht="14.25">
      <c r="H479" s="117"/>
      <c r="I479" s="117"/>
      <c r="J479" s="118">
        <f t="shared" si="31"/>
        <v>0</v>
      </c>
      <c r="K479" s="117"/>
      <c r="L479" s="117"/>
      <c r="M479" s="118">
        <f t="shared" si="34"/>
        <v>0</v>
      </c>
      <c r="N479" s="117"/>
      <c r="O479" s="117"/>
      <c r="P479" s="118">
        <f t="shared" si="32"/>
        <v>0</v>
      </c>
      <c r="Q479" s="117"/>
      <c r="R479" s="117"/>
      <c r="S479" s="118">
        <f t="shared" si="33"/>
        <v>0</v>
      </c>
    </row>
    <row r="480" spans="8:19" ht="14.25">
      <c r="H480" s="117"/>
      <c r="I480" s="117"/>
      <c r="J480" s="118">
        <f t="shared" si="31"/>
        <v>0</v>
      </c>
      <c r="K480" s="117"/>
      <c r="L480" s="117"/>
      <c r="M480" s="118">
        <f t="shared" si="34"/>
        <v>0</v>
      </c>
      <c r="N480" s="117"/>
      <c r="O480" s="117"/>
      <c r="P480" s="118">
        <f t="shared" si="32"/>
        <v>0</v>
      </c>
      <c r="Q480" s="117"/>
      <c r="R480" s="117"/>
      <c r="S480" s="118">
        <f t="shared" si="33"/>
        <v>0</v>
      </c>
    </row>
    <row r="481" spans="8:19" ht="14.25">
      <c r="H481" s="117"/>
      <c r="I481" s="117"/>
      <c r="J481" s="118">
        <f t="shared" si="31"/>
        <v>0</v>
      </c>
      <c r="K481" s="117"/>
      <c r="L481" s="117"/>
      <c r="M481" s="118">
        <f t="shared" si="34"/>
        <v>0</v>
      </c>
      <c r="N481" s="117"/>
      <c r="O481" s="117"/>
      <c r="P481" s="118">
        <f t="shared" si="32"/>
        <v>0</v>
      </c>
      <c r="Q481" s="117"/>
      <c r="R481" s="117"/>
      <c r="S481" s="118">
        <f t="shared" si="33"/>
        <v>0</v>
      </c>
    </row>
    <row r="482" spans="8:19" ht="14.25">
      <c r="H482" s="117"/>
      <c r="I482" s="117"/>
      <c r="J482" s="118">
        <f t="shared" si="31"/>
        <v>0</v>
      </c>
      <c r="K482" s="117"/>
      <c r="L482" s="117"/>
      <c r="M482" s="118">
        <f t="shared" si="34"/>
        <v>0</v>
      </c>
      <c r="N482" s="117"/>
      <c r="O482" s="117"/>
      <c r="P482" s="118">
        <f t="shared" si="32"/>
        <v>0</v>
      </c>
      <c r="Q482" s="117"/>
      <c r="R482" s="117"/>
      <c r="S482" s="118">
        <f t="shared" si="33"/>
        <v>0</v>
      </c>
    </row>
    <row r="483" spans="8:19" ht="14.25">
      <c r="H483" s="117"/>
      <c r="I483" s="117"/>
      <c r="J483" s="118">
        <f t="shared" si="31"/>
        <v>0</v>
      </c>
      <c r="K483" s="117"/>
      <c r="L483" s="117"/>
      <c r="M483" s="118">
        <f t="shared" si="34"/>
        <v>0</v>
      </c>
      <c r="N483" s="117"/>
      <c r="O483" s="117"/>
      <c r="P483" s="118">
        <f t="shared" si="32"/>
        <v>0</v>
      </c>
      <c r="Q483" s="117"/>
      <c r="R483" s="117"/>
      <c r="S483" s="118">
        <f t="shared" si="33"/>
        <v>0</v>
      </c>
    </row>
    <row r="484" spans="8:19" ht="14.25">
      <c r="H484" s="117"/>
      <c r="I484" s="117"/>
      <c r="J484" s="118">
        <f t="shared" si="31"/>
        <v>0</v>
      </c>
      <c r="K484" s="117"/>
      <c r="L484" s="117"/>
      <c r="M484" s="118">
        <f t="shared" si="34"/>
        <v>0</v>
      </c>
      <c r="N484" s="117"/>
      <c r="O484" s="117"/>
      <c r="P484" s="118">
        <f t="shared" si="32"/>
        <v>0</v>
      </c>
      <c r="Q484" s="117"/>
      <c r="R484" s="117"/>
      <c r="S484" s="118">
        <f t="shared" si="33"/>
        <v>0</v>
      </c>
    </row>
    <row r="485" spans="8:19" ht="14.25">
      <c r="H485" s="117"/>
      <c r="I485" s="117"/>
      <c r="J485" s="118">
        <f t="shared" si="31"/>
        <v>0</v>
      </c>
      <c r="K485" s="117"/>
      <c r="L485" s="117"/>
      <c r="M485" s="118">
        <f t="shared" si="34"/>
        <v>0</v>
      </c>
      <c r="N485" s="117"/>
      <c r="O485" s="117"/>
      <c r="P485" s="118">
        <f t="shared" si="32"/>
        <v>0</v>
      </c>
      <c r="Q485" s="117"/>
      <c r="R485" s="117"/>
      <c r="S485" s="118">
        <f t="shared" si="33"/>
        <v>0</v>
      </c>
    </row>
    <row r="486" spans="8:19" ht="14.25">
      <c r="H486" s="117"/>
      <c r="I486" s="117"/>
      <c r="J486" s="118">
        <f t="shared" si="31"/>
        <v>0</v>
      </c>
      <c r="K486" s="117"/>
      <c r="L486" s="117"/>
      <c r="M486" s="118">
        <f t="shared" si="34"/>
        <v>0</v>
      </c>
      <c r="N486" s="117"/>
      <c r="O486" s="117"/>
      <c r="P486" s="118">
        <f t="shared" si="32"/>
        <v>0</v>
      </c>
      <c r="Q486" s="117"/>
      <c r="R486" s="117"/>
      <c r="S486" s="118">
        <f t="shared" si="33"/>
        <v>0</v>
      </c>
    </row>
    <row r="487" spans="8:19" ht="14.25">
      <c r="H487" s="117"/>
      <c r="I487" s="117"/>
      <c r="J487" s="118">
        <f t="shared" si="31"/>
        <v>0</v>
      </c>
      <c r="K487" s="117"/>
      <c r="L487" s="117"/>
      <c r="M487" s="118">
        <f t="shared" si="34"/>
        <v>0</v>
      </c>
      <c r="N487" s="117"/>
      <c r="O487" s="117"/>
      <c r="P487" s="118">
        <f t="shared" si="32"/>
        <v>0</v>
      </c>
      <c r="Q487" s="117"/>
      <c r="R487" s="117"/>
      <c r="S487" s="118">
        <f t="shared" si="33"/>
        <v>0</v>
      </c>
    </row>
    <row r="488" spans="8:19" ht="14.25">
      <c r="H488" s="117"/>
      <c r="I488" s="117"/>
      <c r="J488" s="118">
        <f t="shared" si="31"/>
        <v>0</v>
      </c>
      <c r="K488" s="117"/>
      <c r="L488" s="117"/>
      <c r="M488" s="118">
        <f t="shared" si="34"/>
        <v>0</v>
      </c>
      <c r="N488" s="117"/>
      <c r="O488" s="117"/>
      <c r="P488" s="118">
        <f t="shared" si="32"/>
        <v>0</v>
      </c>
      <c r="Q488" s="117"/>
      <c r="R488" s="117"/>
      <c r="S488" s="118">
        <f t="shared" si="33"/>
        <v>0</v>
      </c>
    </row>
    <row r="489" spans="8:19" ht="14.25">
      <c r="H489" s="117"/>
      <c r="I489" s="117"/>
      <c r="J489" s="118">
        <f t="shared" si="31"/>
        <v>0</v>
      </c>
      <c r="K489" s="117"/>
      <c r="L489" s="117"/>
      <c r="M489" s="118">
        <f t="shared" si="34"/>
        <v>0</v>
      </c>
      <c r="N489" s="117"/>
      <c r="O489" s="117"/>
      <c r="P489" s="118">
        <f t="shared" si="32"/>
        <v>0</v>
      </c>
      <c r="Q489" s="117"/>
      <c r="R489" s="117"/>
      <c r="S489" s="118">
        <f t="shared" si="33"/>
        <v>0</v>
      </c>
    </row>
    <row r="490" spans="8:19" ht="14.25">
      <c r="H490" s="117"/>
      <c r="I490" s="117"/>
      <c r="J490" s="118">
        <f t="shared" si="31"/>
        <v>0</v>
      </c>
      <c r="K490" s="117"/>
      <c r="L490" s="117"/>
      <c r="M490" s="118">
        <f t="shared" si="34"/>
        <v>0</v>
      </c>
      <c r="N490" s="117"/>
      <c r="O490" s="117"/>
      <c r="P490" s="118">
        <f t="shared" si="32"/>
        <v>0</v>
      </c>
      <c r="Q490" s="117"/>
      <c r="R490" s="117"/>
      <c r="S490" s="118">
        <f t="shared" si="33"/>
        <v>0</v>
      </c>
    </row>
    <row r="491" spans="8:19" ht="14.25">
      <c r="H491" s="117"/>
      <c r="I491" s="117"/>
      <c r="J491" s="118">
        <f t="shared" si="31"/>
        <v>0</v>
      </c>
      <c r="K491" s="117"/>
      <c r="L491" s="117"/>
      <c r="M491" s="118">
        <f t="shared" si="34"/>
        <v>0</v>
      </c>
      <c r="N491" s="117"/>
      <c r="O491" s="117"/>
      <c r="P491" s="118">
        <f t="shared" si="32"/>
        <v>0</v>
      </c>
      <c r="Q491" s="117"/>
      <c r="R491" s="117"/>
      <c r="S491" s="118">
        <f t="shared" si="33"/>
        <v>0</v>
      </c>
    </row>
    <row r="492" spans="8:19" ht="14.25">
      <c r="H492" s="117"/>
      <c r="I492" s="117"/>
      <c r="J492" s="118">
        <f t="shared" si="31"/>
        <v>0</v>
      </c>
      <c r="K492" s="117"/>
      <c r="L492" s="117"/>
      <c r="M492" s="118">
        <f t="shared" si="34"/>
        <v>0</v>
      </c>
      <c r="N492" s="117"/>
      <c r="O492" s="117"/>
      <c r="P492" s="118">
        <f t="shared" si="32"/>
        <v>0</v>
      </c>
      <c r="Q492" s="117"/>
      <c r="R492" s="117"/>
      <c r="S492" s="118">
        <f t="shared" si="33"/>
        <v>0</v>
      </c>
    </row>
    <row r="493" spans="8:19" ht="14.25">
      <c r="H493" s="117"/>
      <c r="I493" s="117"/>
      <c r="J493" s="118">
        <f t="shared" si="31"/>
        <v>0</v>
      </c>
      <c r="K493" s="117"/>
      <c r="L493" s="117"/>
      <c r="M493" s="118">
        <f t="shared" si="34"/>
        <v>0</v>
      </c>
      <c r="N493" s="117"/>
      <c r="O493" s="117"/>
      <c r="P493" s="118">
        <f t="shared" si="32"/>
        <v>0</v>
      </c>
      <c r="Q493" s="117"/>
      <c r="R493" s="117"/>
      <c r="S493" s="118">
        <f t="shared" si="33"/>
        <v>0</v>
      </c>
    </row>
    <row r="494" spans="8:19" ht="14.25">
      <c r="H494" s="117"/>
      <c r="I494" s="117"/>
      <c r="J494" s="118">
        <f t="shared" si="31"/>
        <v>0</v>
      </c>
      <c r="K494" s="117"/>
      <c r="L494" s="117"/>
      <c r="M494" s="118">
        <f t="shared" si="34"/>
        <v>0</v>
      </c>
      <c r="N494" s="117"/>
      <c r="O494" s="117"/>
      <c r="P494" s="118">
        <f t="shared" si="32"/>
        <v>0</v>
      </c>
      <c r="Q494" s="117"/>
      <c r="R494" s="117"/>
      <c r="S494" s="118">
        <f t="shared" si="33"/>
        <v>0</v>
      </c>
    </row>
    <row r="495" spans="8:19" ht="14.25">
      <c r="H495" s="117"/>
      <c r="I495" s="117"/>
      <c r="J495" s="118">
        <f t="shared" si="31"/>
        <v>0</v>
      </c>
      <c r="K495" s="117"/>
      <c r="L495" s="117"/>
      <c r="M495" s="118">
        <f t="shared" si="34"/>
        <v>0</v>
      </c>
      <c r="N495" s="117"/>
      <c r="O495" s="117"/>
      <c r="P495" s="118">
        <f t="shared" si="32"/>
        <v>0</v>
      </c>
      <c r="Q495" s="117"/>
      <c r="R495" s="117"/>
      <c r="S495" s="118">
        <f t="shared" si="33"/>
        <v>0</v>
      </c>
    </row>
    <row r="496" spans="8:19" ht="14.25">
      <c r="H496" s="117"/>
      <c r="I496" s="117"/>
      <c r="J496" s="118">
        <f t="shared" si="31"/>
        <v>0</v>
      </c>
      <c r="K496" s="117"/>
      <c r="L496" s="117"/>
      <c r="M496" s="118">
        <f t="shared" si="34"/>
        <v>0</v>
      </c>
      <c r="N496" s="117"/>
      <c r="O496" s="117"/>
      <c r="P496" s="118">
        <f t="shared" si="32"/>
        <v>0</v>
      </c>
      <c r="Q496" s="117"/>
      <c r="R496" s="117"/>
      <c r="S496" s="118">
        <f t="shared" si="33"/>
        <v>0</v>
      </c>
    </row>
    <row r="497" spans="8:19" ht="14.25">
      <c r="H497" s="117"/>
      <c r="I497" s="117"/>
      <c r="J497" s="118">
        <f t="shared" si="31"/>
        <v>0</v>
      </c>
      <c r="K497" s="117"/>
      <c r="L497" s="117"/>
      <c r="M497" s="118">
        <f t="shared" si="34"/>
        <v>0</v>
      </c>
      <c r="N497" s="117"/>
      <c r="O497" s="117"/>
      <c r="P497" s="118">
        <f t="shared" si="32"/>
        <v>0</v>
      </c>
      <c r="Q497" s="117"/>
      <c r="R497" s="117"/>
      <c r="S497" s="118">
        <f t="shared" si="33"/>
        <v>0</v>
      </c>
    </row>
    <row r="498" spans="8:19" ht="14.25">
      <c r="H498" s="117"/>
      <c r="I498" s="117"/>
      <c r="J498" s="118">
        <f t="shared" si="31"/>
        <v>0</v>
      </c>
      <c r="K498" s="117"/>
      <c r="L498" s="117"/>
      <c r="M498" s="118">
        <f t="shared" si="34"/>
        <v>0</v>
      </c>
      <c r="N498" s="117"/>
      <c r="O498" s="117"/>
      <c r="P498" s="118">
        <f t="shared" si="32"/>
        <v>0</v>
      </c>
      <c r="Q498" s="117"/>
      <c r="R498" s="117"/>
      <c r="S498" s="118">
        <f t="shared" si="33"/>
        <v>0</v>
      </c>
    </row>
    <row r="499" spans="8:19" ht="14.25">
      <c r="H499" s="117"/>
      <c r="I499" s="117"/>
      <c r="J499" s="118">
        <f t="shared" si="31"/>
        <v>0</v>
      </c>
      <c r="K499" s="117"/>
      <c r="L499" s="117"/>
      <c r="M499" s="118">
        <f t="shared" si="34"/>
        <v>0</v>
      </c>
      <c r="N499" s="117"/>
      <c r="O499" s="117"/>
      <c r="P499" s="118">
        <f t="shared" si="32"/>
        <v>0</v>
      </c>
      <c r="Q499" s="117"/>
      <c r="R499" s="117"/>
      <c r="S499" s="118">
        <f t="shared" si="33"/>
        <v>0</v>
      </c>
    </row>
    <row r="500" spans="8:19" ht="14.25">
      <c r="H500" s="117"/>
      <c r="I500" s="117"/>
      <c r="J500" s="118">
        <f t="shared" si="31"/>
        <v>0</v>
      </c>
      <c r="K500" s="117"/>
      <c r="L500" s="117"/>
      <c r="M500" s="118">
        <f t="shared" si="34"/>
        <v>0</v>
      </c>
      <c r="N500" s="117"/>
      <c r="O500" s="117"/>
      <c r="P500" s="118">
        <f t="shared" si="32"/>
        <v>0</v>
      </c>
      <c r="Q500" s="117"/>
      <c r="R500" s="117"/>
      <c r="S500" s="118">
        <f t="shared" si="33"/>
        <v>0</v>
      </c>
    </row>
    <row r="501" spans="8:19" ht="14.25">
      <c r="H501" s="117"/>
      <c r="I501" s="117"/>
      <c r="J501" s="118">
        <f t="shared" si="31"/>
        <v>0</v>
      </c>
      <c r="K501" s="117"/>
      <c r="L501" s="117"/>
      <c r="M501" s="118">
        <f t="shared" si="34"/>
        <v>0</v>
      </c>
      <c r="N501" s="117"/>
      <c r="O501" s="117"/>
      <c r="P501" s="118">
        <f t="shared" si="32"/>
        <v>0</v>
      </c>
      <c r="Q501" s="117"/>
      <c r="R501" s="117"/>
      <c r="S501" s="118">
        <f t="shared" si="33"/>
        <v>0</v>
      </c>
    </row>
    <row r="502" spans="8:19" ht="14.25">
      <c r="H502" s="117"/>
      <c r="I502" s="117"/>
      <c r="J502" s="118">
        <f t="shared" si="31"/>
        <v>0</v>
      </c>
      <c r="K502" s="117"/>
      <c r="L502" s="117"/>
      <c r="M502" s="118">
        <f t="shared" si="34"/>
        <v>0</v>
      </c>
      <c r="N502" s="117"/>
      <c r="O502" s="117"/>
      <c r="P502" s="118">
        <f t="shared" si="32"/>
        <v>0</v>
      </c>
      <c r="Q502" s="117"/>
      <c r="R502" s="117"/>
      <c r="S502" s="118">
        <f t="shared" si="33"/>
        <v>0</v>
      </c>
    </row>
    <row r="503" spans="8:19" ht="14.25">
      <c r="H503" s="117"/>
      <c r="I503" s="117"/>
      <c r="J503" s="118">
        <f t="shared" si="31"/>
        <v>0</v>
      </c>
      <c r="K503" s="117"/>
      <c r="L503" s="117"/>
      <c r="M503" s="118">
        <f t="shared" si="34"/>
        <v>0</v>
      </c>
      <c r="N503" s="117"/>
      <c r="O503" s="117"/>
      <c r="P503" s="118">
        <f t="shared" si="32"/>
        <v>0</v>
      </c>
      <c r="Q503" s="117"/>
      <c r="R503" s="117"/>
      <c r="S503" s="118">
        <f t="shared" si="33"/>
        <v>0</v>
      </c>
    </row>
    <row r="504" spans="8:19" ht="14.25">
      <c r="H504" s="117"/>
      <c r="I504" s="117"/>
      <c r="J504" s="118">
        <f t="shared" si="31"/>
        <v>0</v>
      </c>
      <c r="K504" s="117"/>
      <c r="L504" s="117"/>
      <c r="M504" s="118">
        <f t="shared" si="34"/>
        <v>0</v>
      </c>
      <c r="N504" s="117"/>
      <c r="O504" s="117"/>
      <c r="P504" s="118">
        <f t="shared" si="32"/>
        <v>0</v>
      </c>
      <c r="Q504" s="117"/>
      <c r="R504" s="117"/>
      <c r="S504" s="118">
        <f t="shared" si="33"/>
        <v>0</v>
      </c>
    </row>
    <row r="505" spans="8:19" ht="14.25">
      <c r="H505" s="117"/>
      <c r="I505" s="117"/>
      <c r="J505" s="118">
        <f t="shared" si="31"/>
        <v>0</v>
      </c>
      <c r="K505" s="117"/>
      <c r="L505" s="117"/>
      <c r="M505" s="118">
        <f t="shared" si="34"/>
        <v>0</v>
      </c>
      <c r="N505" s="117"/>
      <c r="O505" s="117"/>
      <c r="P505" s="118">
        <f t="shared" si="32"/>
        <v>0</v>
      </c>
      <c r="Q505" s="117"/>
      <c r="R505" s="117"/>
      <c r="S505" s="118">
        <f t="shared" si="33"/>
        <v>0</v>
      </c>
    </row>
    <row r="506" spans="8:19" ht="14.25">
      <c r="H506" s="117"/>
      <c r="I506" s="117"/>
      <c r="J506" s="118">
        <f t="shared" ref="J506:J516" si="35">H506*I506</f>
        <v>0</v>
      </c>
      <c r="K506" s="117"/>
      <c r="L506" s="117"/>
      <c r="M506" s="118">
        <f t="shared" si="34"/>
        <v>0</v>
      </c>
      <c r="N506" s="117"/>
      <c r="O506" s="117"/>
      <c r="P506" s="118">
        <f t="shared" si="32"/>
        <v>0</v>
      </c>
      <c r="Q506" s="117"/>
      <c r="R506" s="117"/>
      <c r="S506" s="118">
        <f t="shared" si="33"/>
        <v>0</v>
      </c>
    </row>
    <row r="507" spans="8:19" ht="14.25">
      <c r="H507" s="117"/>
      <c r="I507" s="117"/>
      <c r="J507" s="118">
        <f t="shared" si="35"/>
        <v>0</v>
      </c>
      <c r="K507" s="117"/>
      <c r="L507" s="117"/>
      <c r="M507" s="118">
        <f t="shared" si="34"/>
        <v>0</v>
      </c>
      <c r="N507" s="117"/>
      <c r="O507" s="117"/>
      <c r="P507" s="118">
        <f t="shared" si="32"/>
        <v>0</v>
      </c>
      <c r="Q507" s="117"/>
      <c r="R507" s="117"/>
      <c r="S507" s="118">
        <f t="shared" si="33"/>
        <v>0</v>
      </c>
    </row>
    <row r="508" spans="8:19" ht="14.25">
      <c r="H508" s="117"/>
      <c r="I508" s="117"/>
      <c r="J508" s="118">
        <f t="shared" si="35"/>
        <v>0</v>
      </c>
      <c r="K508" s="117"/>
      <c r="L508" s="117"/>
      <c r="M508" s="118">
        <f t="shared" si="34"/>
        <v>0</v>
      </c>
      <c r="N508" s="117"/>
      <c r="O508" s="117"/>
      <c r="P508" s="118">
        <f t="shared" si="32"/>
        <v>0</v>
      </c>
      <c r="Q508" s="117"/>
      <c r="R508" s="117"/>
      <c r="S508" s="118">
        <f t="shared" si="33"/>
        <v>0</v>
      </c>
    </row>
    <row r="509" spans="8:19" ht="14.25">
      <c r="H509" s="117"/>
      <c r="I509" s="117"/>
      <c r="J509" s="118">
        <f t="shared" si="35"/>
        <v>0</v>
      </c>
      <c r="K509" s="117"/>
      <c r="L509" s="117"/>
      <c r="M509" s="118">
        <f t="shared" si="34"/>
        <v>0</v>
      </c>
      <c r="N509" s="117"/>
      <c r="O509" s="117"/>
      <c r="P509" s="118">
        <f t="shared" si="32"/>
        <v>0</v>
      </c>
      <c r="Q509" s="117"/>
      <c r="R509" s="117"/>
      <c r="S509" s="118">
        <f t="shared" si="33"/>
        <v>0</v>
      </c>
    </row>
    <row r="510" spans="8:19" ht="14.25">
      <c r="H510" s="117"/>
      <c r="I510" s="117"/>
      <c r="J510" s="118">
        <f t="shared" si="35"/>
        <v>0</v>
      </c>
      <c r="K510" s="117"/>
      <c r="L510" s="117"/>
      <c r="M510" s="118">
        <f t="shared" si="34"/>
        <v>0</v>
      </c>
      <c r="N510" s="117"/>
      <c r="O510" s="117"/>
      <c r="P510" s="118">
        <f t="shared" si="32"/>
        <v>0</v>
      </c>
      <c r="Q510" s="117"/>
      <c r="R510" s="117"/>
      <c r="S510" s="118">
        <f t="shared" si="33"/>
        <v>0</v>
      </c>
    </row>
    <row r="511" spans="8:19" ht="14.25">
      <c r="H511" s="117"/>
      <c r="I511" s="117"/>
      <c r="J511" s="118">
        <f t="shared" si="35"/>
        <v>0</v>
      </c>
      <c r="K511" s="117"/>
      <c r="L511" s="117"/>
      <c r="M511" s="118">
        <f t="shared" si="34"/>
        <v>0</v>
      </c>
      <c r="N511" s="117"/>
      <c r="O511" s="117"/>
      <c r="P511" s="118">
        <f t="shared" si="32"/>
        <v>0</v>
      </c>
      <c r="Q511" s="117"/>
      <c r="R511" s="117"/>
      <c r="S511" s="118">
        <f t="shared" si="33"/>
        <v>0</v>
      </c>
    </row>
    <row r="512" spans="8:19" ht="14.25">
      <c r="H512" s="117"/>
      <c r="I512" s="117"/>
      <c r="J512" s="118">
        <f t="shared" si="35"/>
        <v>0</v>
      </c>
      <c r="K512" s="117"/>
      <c r="L512" s="117"/>
      <c r="M512" s="118">
        <f t="shared" si="34"/>
        <v>0</v>
      </c>
      <c r="N512" s="117"/>
      <c r="O512" s="117"/>
      <c r="P512" s="118">
        <f t="shared" si="32"/>
        <v>0</v>
      </c>
      <c r="Q512" s="117"/>
      <c r="R512" s="117"/>
      <c r="S512" s="118">
        <f t="shared" si="33"/>
        <v>0</v>
      </c>
    </row>
    <row r="513" spans="8:19" ht="14.25">
      <c r="H513" s="117"/>
      <c r="I513" s="117"/>
      <c r="J513" s="118">
        <f t="shared" si="35"/>
        <v>0</v>
      </c>
      <c r="K513" s="117"/>
      <c r="L513" s="117"/>
      <c r="M513" s="118">
        <f t="shared" si="34"/>
        <v>0</v>
      </c>
      <c r="N513" s="117"/>
      <c r="O513" s="117"/>
      <c r="P513" s="118">
        <f t="shared" si="32"/>
        <v>0</v>
      </c>
      <c r="Q513" s="117"/>
      <c r="R513" s="117"/>
      <c r="S513" s="118">
        <f t="shared" si="33"/>
        <v>0</v>
      </c>
    </row>
    <row r="514" spans="8:19" ht="14.25">
      <c r="H514" s="117"/>
      <c r="I514" s="117"/>
      <c r="J514" s="118">
        <f t="shared" si="35"/>
        <v>0</v>
      </c>
      <c r="K514" s="117"/>
      <c r="L514" s="117"/>
      <c r="M514" s="118">
        <f t="shared" si="34"/>
        <v>0</v>
      </c>
      <c r="N514" s="117"/>
      <c r="O514" s="117"/>
      <c r="P514" s="118">
        <f t="shared" si="32"/>
        <v>0</v>
      </c>
      <c r="Q514" s="117"/>
      <c r="R514" s="117"/>
      <c r="S514" s="118">
        <f t="shared" si="33"/>
        <v>0</v>
      </c>
    </row>
    <row r="515" spans="8:19" ht="14.25">
      <c r="H515" s="117"/>
      <c r="I515" s="117"/>
      <c r="J515" s="118">
        <f t="shared" si="35"/>
        <v>0</v>
      </c>
      <c r="K515" s="117"/>
      <c r="L515" s="117"/>
      <c r="M515" s="118">
        <f t="shared" si="34"/>
        <v>0</v>
      </c>
      <c r="N515" s="117"/>
      <c r="O515" s="117"/>
      <c r="P515" s="118">
        <f t="shared" si="32"/>
        <v>0</v>
      </c>
      <c r="Q515" s="117"/>
      <c r="R515" s="117"/>
      <c r="S515" s="118">
        <f t="shared" si="33"/>
        <v>0</v>
      </c>
    </row>
    <row r="516" spans="8:19" ht="14.25">
      <c r="H516" s="117"/>
      <c r="I516" s="117"/>
      <c r="J516" s="118">
        <f t="shared" si="35"/>
        <v>0</v>
      </c>
      <c r="K516" s="117"/>
      <c r="L516" s="117"/>
      <c r="M516" s="118">
        <f t="shared" si="34"/>
        <v>0</v>
      </c>
      <c r="N516" s="117"/>
      <c r="O516" s="117"/>
      <c r="P516" s="118">
        <f t="shared" si="32"/>
        <v>0</v>
      </c>
      <c r="Q516" s="117"/>
      <c r="R516" s="117"/>
      <c r="S516" s="118">
        <f t="shared" si="33"/>
        <v>0</v>
      </c>
    </row>
    <row r="517" spans="8:19" ht="14.25">
      <c r="H517" s="117"/>
      <c r="I517" s="117"/>
      <c r="J517" s="118">
        <f t="shared" ref="J517:J555" si="36">H517*I517</f>
        <v>0</v>
      </c>
      <c r="K517" s="117"/>
      <c r="L517" s="117"/>
      <c r="M517" s="118">
        <f t="shared" si="34"/>
        <v>0</v>
      </c>
      <c r="N517" s="117"/>
      <c r="O517" s="117"/>
      <c r="P517" s="118">
        <f t="shared" si="32"/>
        <v>0</v>
      </c>
      <c r="Q517" s="117"/>
      <c r="R517" s="117"/>
      <c r="S517" s="118">
        <f t="shared" si="33"/>
        <v>0</v>
      </c>
    </row>
    <row r="518" spans="8:19" ht="14.25">
      <c r="H518" s="117"/>
      <c r="I518" s="117"/>
      <c r="J518" s="118">
        <f t="shared" si="36"/>
        <v>0</v>
      </c>
      <c r="K518" s="117"/>
      <c r="L518" s="117"/>
      <c r="M518" s="118">
        <f t="shared" si="34"/>
        <v>0</v>
      </c>
      <c r="N518" s="117"/>
      <c r="O518" s="117"/>
      <c r="P518" s="118">
        <f t="shared" si="32"/>
        <v>0</v>
      </c>
      <c r="Q518" s="117"/>
      <c r="R518" s="117"/>
      <c r="S518" s="118">
        <f t="shared" si="33"/>
        <v>0</v>
      </c>
    </row>
    <row r="519" spans="8:19" ht="14.25">
      <c r="H519" s="117"/>
      <c r="I519" s="117"/>
      <c r="J519" s="118">
        <f t="shared" si="36"/>
        <v>0</v>
      </c>
      <c r="K519" s="117"/>
      <c r="L519" s="117"/>
      <c r="M519" s="118">
        <f t="shared" si="34"/>
        <v>0</v>
      </c>
      <c r="N519" s="117"/>
      <c r="O519" s="117"/>
      <c r="P519" s="118">
        <f t="shared" si="32"/>
        <v>0</v>
      </c>
      <c r="Q519" s="117"/>
      <c r="R519" s="117"/>
      <c r="S519" s="118">
        <f t="shared" si="33"/>
        <v>0</v>
      </c>
    </row>
    <row r="520" spans="8:19" ht="14.25">
      <c r="H520" s="117"/>
      <c r="I520" s="117"/>
      <c r="J520" s="118">
        <f t="shared" si="36"/>
        <v>0</v>
      </c>
      <c r="K520" s="117"/>
      <c r="L520" s="117"/>
      <c r="M520" s="118">
        <f t="shared" si="34"/>
        <v>0</v>
      </c>
      <c r="N520" s="117"/>
      <c r="O520" s="117"/>
      <c r="P520" s="118">
        <f t="shared" si="32"/>
        <v>0</v>
      </c>
      <c r="Q520" s="117"/>
      <c r="R520" s="117"/>
      <c r="S520" s="118">
        <f t="shared" si="33"/>
        <v>0</v>
      </c>
    </row>
    <row r="521" spans="8:19" ht="14.25">
      <c r="H521" s="117"/>
      <c r="I521" s="117"/>
      <c r="J521" s="118">
        <f t="shared" si="36"/>
        <v>0</v>
      </c>
      <c r="K521" s="117"/>
      <c r="L521" s="117"/>
      <c r="M521" s="118">
        <f t="shared" si="34"/>
        <v>0</v>
      </c>
      <c r="N521" s="117"/>
      <c r="O521" s="117"/>
      <c r="P521" s="118">
        <f t="shared" si="32"/>
        <v>0</v>
      </c>
      <c r="Q521" s="117"/>
      <c r="R521" s="117"/>
      <c r="S521" s="118">
        <f t="shared" si="33"/>
        <v>0</v>
      </c>
    </row>
    <row r="522" spans="8:19" ht="14.25">
      <c r="H522" s="117"/>
      <c r="I522" s="117"/>
      <c r="J522" s="118">
        <f t="shared" si="36"/>
        <v>0</v>
      </c>
      <c r="K522" s="117"/>
      <c r="L522" s="117"/>
      <c r="M522" s="118">
        <f t="shared" si="34"/>
        <v>0</v>
      </c>
      <c r="N522" s="117"/>
      <c r="O522" s="117"/>
      <c r="P522" s="118">
        <f t="shared" si="32"/>
        <v>0</v>
      </c>
      <c r="Q522" s="117"/>
      <c r="R522" s="117"/>
      <c r="S522" s="118">
        <f t="shared" si="33"/>
        <v>0</v>
      </c>
    </row>
    <row r="523" spans="8:19" ht="14.25">
      <c r="H523" s="117"/>
      <c r="I523" s="117"/>
      <c r="J523" s="118">
        <f t="shared" si="36"/>
        <v>0</v>
      </c>
      <c r="K523" s="117"/>
      <c r="L523" s="117"/>
      <c r="M523" s="118">
        <f t="shared" si="34"/>
        <v>0</v>
      </c>
      <c r="N523" s="117"/>
      <c r="O523" s="117"/>
      <c r="P523" s="118">
        <f t="shared" si="32"/>
        <v>0</v>
      </c>
      <c r="Q523" s="117"/>
      <c r="R523" s="117"/>
      <c r="S523" s="118">
        <f t="shared" si="33"/>
        <v>0</v>
      </c>
    </row>
    <row r="524" spans="8:19" ht="14.25">
      <c r="H524" s="117"/>
      <c r="I524" s="117"/>
      <c r="J524" s="118">
        <f t="shared" si="36"/>
        <v>0</v>
      </c>
      <c r="K524" s="117"/>
      <c r="L524" s="117"/>
      <c r="M524" s="118">
        <f t="shared" si="34"/>
        <v>0</v>
      </c>
      <c r="N524" s="117"/>
      <c r="O524" s="117"/>
      <c r="P524" s="118">
        <f t="shared" si="32"/>
        <v>0</v>
      </c>
      <c r="Q524" s="117"/>
      <c r="R524" s="117"/>
      <c r="S524" s="118">
        <f t="shared" si="33"/>
        <v>0</v>
      </c>
    </row>
    <row r="525" spans="8:19" ht="14.25">
      <c r="H525" s="117"/>
      <c r="I525" s="117"/>
      <c r="J525" s="118">
        <f t="shared" si="36"/>
        <v>0</v>
      </c>
      <c r="K525" s="117"/>
      <c r="L525" s="117"/>
      <c r="M525" s="118">
        <f t="shared" si="34"/>
        <v>0</v>
      </c>
      <c r="N525" s="117"/>
      <c r="O525" s="117"/>
      <c r="P525" s="118">
        <f t="shared" ref="P525:P555" si="37">N525*O525</f>
        <v>0</v>
      </c>
      <c r="Q525" s="117"/>
      <c r="R525" s="117"/>
      <c r="S525" s="118">
        <f t="shared" si="33"/>
        <v>0</v>
      </c>
    </row>
    <row r="526" spans="8:19" ht="14.25">
      <c r="H526" s="117"/>
      <c r="I526" s="117"/>
      <c r="J526" s="118">
        <f t="shared" si="36"/>
        <v>0</v>
      </c>
      <c r="K526" s="117"/>
      <c r="L526" s="117"/>
      <c r="M526" s="118">
        <f t="shared" si="34"/>
        <v>0</v>
      </c>
      <c r="N526" s="117"/>
      <c r="O526" s="117"/>
      <c r="P526" s="118">
        <f t="shared" si="37"/>
        <v>0</v>
      </c>
      <c r="Q526" s="117"/>
      <c r="R526" s="117"/>
      <c r="S526" s="118">
        <f t="shared" ref="S526:S556" si="38">Q526*R526</f>
        <v>0</v>
      </c>
    </row>
    <row r="527" spans="8:19" ht="14.25">
      <c r="H527" s="117"/>
      <c r="I527" s="117"/>
      <c r="J527" s="118">
        <f t="shared" si="36"/>
        <v>0</v>
      </c>
      <c r="K527" s="117"/>
      <c r="L527" s="117"/>
      <c r="M527" s="118">
        <f t="shared" ref="M527:M551" si="39">K527*L527</f>
        <v>0</v>
      </c>
      <c r="N527" s="117"/>
      <c r="O527" s="117"/>
      <c r="P527" s="118">
        <f t="shared" si="37"/>
        <v>0</v>
      </c>
      <c r="Q527" s="117"/>
      <c r="R527" s="117"/>
      <c r="S527" s="118">
        <f t="shared" si="38"/>
        <v>0</v>
      </c>
    </row>
    <row r="528" spans="8:19" ht="14.25">
      <c r="H528" s="117"/>
      <c r="I528" s="117"/>
      <c r="J528" s="118">
        <f t="shared" si="36"/>
        <v>0</v>
      </c>
      <c r="K528" s="117"/>
      <c r="L528" s="117"/>
      <c r="M528" s="118">
        <f t="shared" si="39"/>
        <v>0</v>
      </c>
      <c r="N528" s="117"/>
      <c r="O528" s="117"/>
      <c r="P528" s="118">
        <f t="shared" si="37"/>
        <v>0</v>
      </c>
      <c r="Q528" s="117"/>
      <c r="R528" s="117"/>
      <c r="S528" s="118">
        <f t="shared" si="38"/>
        <v>0</v>
      </c>
    </row>
    <row r="529" spans="8:19" ht="14.25">
      <c r="H529" s="117"/>
      <c r="I529" s="117"/>
      <c r="J529" s="118">
        <f t="shared" si="36"/>
        <v>0</v>
      </c>
      <c r="K529" s="117"/>
      <c r="L529" s="117"/>
      <c r="M529" s="118">
        <f t="shared" si="39"/>
        <v>0</v>
      </c>
      <c r="N529" s="117"/>
      <c r="O529" s="117"/>
      <c r="P529" s="118">
        <f t="shared" si="37"/>
        <v>0</v>
      </c>
      <c r="Q529" s="117"/>
      <c r="R529" s="117"/>
      <c r="S529" s="118">
        <f t="shared" si="38"/>
        <v>0</v>
      </c>
    </row>
    <row r="530" spans="8:19" ht="14.25">
      <c r="H530" s="117"/>
      <c r="I530" s="117"/>
      <c r="J530" s="118">
        <f t="shared" si="36"/>
        <v>0</v>
      </c>
      <c r="K530" s="117"/>
      <c r="L530" s="117"/>
      <c r="M530" s="118">
        <f t="shared" si="39"/>
        <v>0</v>
      </c>
      <c r="N530" s="117"/>
      <c r="O530" s="117"/>
      <c r="P530" s="118">
        <f t="shared" si="37"/>
        <v>0</v>
      </c>
      <c r="Q530" s="117"/>
      <c r="R530" s="117"/>
      <c r="S530" s="118">
        <f t="shared" si="38"/>
        <v>0</v>
      </c>
    </row>
    <row r="531" spans="8:19" ht="14.25">
      <c r="H531" s="117"/>
      <c r="I531" s="117"/>
      <c r="J531" s="118">
        <f t="shared" si="36"/>
        <v>0</v>
      </c>
      <c r="K531" s="117"/>
      <c r="L531" s="117"/>
      <c r="M531" s="118">
        <f t="shared" si="39"/>
        <v>0</v>
      </c>
      <c r="N531" s="117"/>
      <c r="O531" s="117"/>
      <c r="P531" s="118">
        <f t="shared" si="37"/>
        <v>0</v>
      </c>
      <c r="Q531" s="117"/>
      <c r="R531" s="117"/>
      <c r="S531" s="118">
        <f t="shared" si="38"/>
        <v>0</v>
      </c>
    </row>
    <row r="532" spans="8:19" ht="14.25">
      <c r="H532" s="117"/>
      <c r="I532" s="117"/>
      <c r="J532" s="118">
        <f t="shared" si="36"/>
        <v>0</v>
      </c>
      <c r="K532" s="117"/>
      <c r="L532" s="117"/>
      <c r="M532" s="118">
        <f t="shared" si="39"/>
        <v>0</v>
      </c>
      <c r="N532" s="117"/>
      <c r="O532" s="117"/>
      <c r="P532" s="118">
        <f t="shared" si="37"/>
        <v>0</v>
      </c>
      <c r="Q532" s="117"/>
      <c r="R532" s="117"/>
      <c r="S532" s="118">
        <f t="shared" si="38"/>
        <v>0</v>
      </c>
    </row>
    <row r="533" spans="8:19" ht="14.25">
      <c r="H533" s="117"/>
      <c r="I533" s="117"/>
      <c r="J533" s="118">
        <f t="shared" si="36"/>
        <v>0</v>
      </c>
      <c r="K533" s="117"/>
      <c r="L533" s="117"/>
      <c r="M533" s="118">
        <f t="shared" si="39"/>
        <v>0</v>
      </c>
      <c r="N533" s="117"/>
      <c r="O533" s="117"/>
      <c r="P533" s="118">
        <f t="shared" si="37"/>
        <v>0</v>
      </c>
      <c r="Q533" s="117"/>
      <c r="R533" s="117"/>
      <c r="S533" s="118">
        <f t="shared" si="38"/>
        <v>0</v>
      </c>
    </row>
    <row r="534" spans="8:19" ht="14.25">
      <c r="H534" s="117"/>
      <c r="I534" s="117"/>
      <c r="J534" s="118">
        <f t="shared" si="36"/>
        <v>0</v>
      </c>
      <c r="K534" s="117"/>
      <c r="L534" s="117"/>
      <c r="M534" s="118">
        <f t="shared" si="39"/>
        <v>0</v>
      </c>
      <c r="N534" s="117"/>
      <c r="O534" s="117"/>
      <c r="P534" s="118">
        <f t="shared" si="37"/>
        <v>0</v>
      </c>
      <c r="Q534" s="117"/>
      <c r="R534" s="117"/>
      <c r="S534" s="118">
        <f t="shared" si="38"/>
        <v>0</v>
      </c>
    </row>
    <row r="535" spans="8:19" ht="14.25">
      <c r="H535" s="117"/>
      <c r="I535" s="117"/>
      <c r="J535" s="118">
        <f t="shared" si="36"/>
        <v>0</v>
      </c>
      <c r="K535" s="117"/>
      <c r="L535" s="117"/>
      <c r="M535" s="118">
        <f t="shared" si="39"/>
        <v>0</v>
      </c>
      <c r="N535" s="117"/>
      <c r="O535" s="117"/>
      <c r="P535" s="118">
        <f t="shared" si="37"/>
        <v>0</v>
      </c>
      <c r="Q535" s="117"/>
      <c r="R535" s="117"/>
      <c r="S535" s="118">
        <f t="shared" si="38"/>
        <v>0</v>
      </c>
    </row>
    <row r="536" spans="8:19" ht="14.25">
      <c r="H536" s="117"/>
      <c r="I536" s="117"/>
      <c r="J536" s="118">
        <f t="shared" si="36"/>
        <v>0</v>
      </c>
      <c r="K536" s="117"/>
      <c r="L536" s="117"/>
      <c r="M536" s="118">
        <f t="shared" si="39"/>
        <v>0</v>
      </c>
      <c r="N536" s="117"/>
      <c r="O536" s="117"/>
      <c r="P536" s="118">
        <f t="shared" si="37"/>
        <v>0</v>
      </c>
      <c r="Q536" s="117"/>
      <c r="R536" s="117"/>
      <c r="S536" s="118">
        <f t="shared" si="38"/>
        <v>0</v>
      </c>
    </row>
    <row r="537" spans="8:19" ht="14.25">
      <c r="H537" s="117"/>
      <c r="I537" s="117"/>
      <c r="J537" s="118">
        <f t="shared" si="36"/>
        <v>0</v>
      </c>
      <c r="K537" s="117"/>
      <c r="L537" s="117"/>
      <c r="M537" s="118">
        <f t="shared" si="39"/>
        <v>0</v>
      </c>
      <c r="N537" s="117"/>
      <c r="O537" s="117"/>
      <c r="P537" s="118">
        <f t="shared" si="37"/>
        <v>0</v>
      </c>
      <c r="Q537" s="117"/>
      <c r="R537" s="117"/>
      <c r="S537" s="118">
        <f t="shared" si="38"/>
        <v>0</v>
      </c>
    </row>
    <row r="538" spans="8:19" ht="14.25">
      <c r="H538" s="117"/>
      <c r="I538" s="117"/>
      <c r="J538" s="118">
        <f t="shared" si="36"/>
        <v>0</v>
      </c>
      <c r="K538" s="117"/>
      <c r="L538" s="117"/>
      <c r="M538" s="118">
        <f t="shared" si="39"/>
        <v>0</v>
      </c>
      <c r="N538" s="117"/>
      <c r="O538" s="117"/>
      <c r="P538" s="118">
        <f t="shared" si="37"/>
        <v>0</v>
      </c>
      <c r="Q538" s="117"/>
      <c r="R538" s="117"/>
      <c r="S538" s="118">
        <f t="shared" si="38"/>
        <v>0</v>
      </c>
    </row>
    <row r="539" spans="8:19" ht="14.25">
      <c r="H539" s="117"/>
      <c r="I539" s="117"/>
      <c r="J539" s="118">
        <f t="shared" si="36"/>
        <v>0</v>
      </c>
      <c r="K539" s="117"/>
      <c r="L539" s="117"/>
      <c r="M539" s="118">
        <f t="shared" si="39"/>
        <v>0</v>
      </c>
      <c r="N539" s="117"/>
      <c r="O539" s="117"/>
      <c r="P539" s="118">
        <f t="shared" si="37"/>
        <v>0</v>
      </c>
      <c r="Q539" s="117"/>
      <c r="R539" s="117"/>
      <c r="S539" s="118">
        <f t="shared" si="38"/>
        <v>0</v>
      </c>
    </row>
    <row r="540" spans="8:19" ht="14.25">
      <c r="H540" s="117"/>
      <c r="I540" s="117"/>
      <c r="J540" s="118">
        <f t="shared" si="36"/>
        <v>0</v>
      </c>
      <c r="K540" s="117"/>
      <c r="L540" s="117"/>
      <c r="M540" s="118">
        <f t="shared" si="39"/>
        <v>0</v>
      </c>
      <c r="N540" s="117"/>
      <c r="O540" s="117"/>
      <c r="P540" s="118">
        <f t="shared" si="37"/>
        <v>0</v>
      </c>
      <c r="Q540" s="117"/>
      <c r="R540" s="117"/>
      <c r="S540" s="118">
        <f t="shared" si="38"/>
        <v>0</v>
      </c>
    </row>
    <row r="541" spans="8:19" ht="14.25">
      <c r="H541" s="117"/>
      <c r="I541" s="117"/>
      <c r="J541" s="118">
        <f t="shared" si="36"/>
        <v>0</v>
      </c>
      <c r="K541" s="117"/>
      <c r="L541" s="117"/>
      <c r="M541" s="118">
        <f t="shared" si="39"/>
        <v>0</v>
      </c>
      <c r="N541" s="117"/>
      <c r="O541" s="117"/>
      <c r="P541" s="118">
        <f t="shared" si="37"/>
        <v>0</v>
      </c>
      <c r="Q541" s="117"/>
      <c r="R541" s="117"/>
      <c r="S541" s="118">
        <f t="shared" si="38"/>
        <v>0</v>
      </c>
    </row>
    <row r="542" spans="8:19" ht="14.25">
      <c r="H542" s="117"/>
      <c r="I542" s="117"/>
      <c r="J542" s="118">
        <f t="shared" si="36"/>
        <v>0</v>
      </c>
      <c r="K542" s="117"/>
      <c r="L542" s="117"/>
      <c r="M542" s="118">
        <f t="shared" si="39"/>
        <v>0</v>
      </c>
      <c r="N542" s="117"/>
      <c r="O542" s="117"/>
      <c r="P542" s="118">
        <f t="shared" si="37"/>
        <v>0</v>
      </c>
      <c r="Q542" s="117"/>
      <c r="R542" s="117"/>
      <c r="S542" s="118">
        <f t="shared" si="38"/>
        <v>0</v>
      </c>
    </row>
    <row r="543" spans="8:19" ht="14.25">
      <c r="H543" s="117"/>
      <c r="I543" s="117"/>
      <c r="J543" s="118">
        <f t="shared" si="36"/>
        <v>0</v>
      </c>
      <c r="K543" s="117"/>
      <c r="L543" s="117"/>
      <c r="M543" s="118">
        <f t="shared" si="39"/>
        <v>0</v>
      </c>
      <c r="N543" s="117"/>
      <c r="O543" s="117"/>
      <c r="P543" s="118">
        <f t="shared" si="37"/>
        <v>0</v>
      </c>
      <c r="Q543" s="117"/>
      <c r="R543" s="117"/>
      <c r="S543" s="118">
        <f t="shared" si="38"/>
        <v>0</v>
      </c>
    </row>
    <row r="544" spans="8:19" ht="14.25">
      <c r="H544" s="117"/>
      <c r="I544" s="117"/>
      <c r="J544" s="118">
        <f t="shared" si="36"/>
        <v>0</v>
      </c>
      <c r="K544" s="117"/>
      <c r="L544" s="117"/>
      <c r="M544" s="118">
        <f t="shared" si="39"/>
        <v>0</v>
      </c>
      <c r="N544" s="117"/>
      <c r="O544" s="117"/>
      <c r="P544" s="118">
        <f t="shared" si="37"/>
        <v>0</v>
      </c>
      <c r="Q544" s="117"/>
      <c r="R544" s="117"/>
      <c r="S544" s="118">
        <f t="shared" si="38"/>
        <v>0</v>
      </c>
    </row>
    <row r="545" spans="8:19" ht="14.25">
      <c r="H545" s="117"/>
      <c r="I545" s="117"/>
      <c r="J545" s="118">
        <f t="shared" si="36"/>
        <v>0</v>
      </c>
      <c r="K545" s="117"/>
      <c r="L545" s="117"/>
      <c r="M545" s="118">
        <f t="shared" si="39"/>
        <v>0</v>
      </c>
      <c r="N545" s="117"/>
      <c r="O545" s="117"/>
      <c r="P545" s="118">
        <f t="shared" si="37"/>
        <v>0</v>
      </c>
      <c r="Q545" s="117"/>
      <c r="R545" s="117"/>
      <c r="S545" s="118">
        <f t="shared" si="38"/>
        <v>0</v>
      </c>
    </row>
    <row r="546" spans="8:19" ht="14.25">
      <c r="H546" s="117"/>
      <c r="I546" s="117"/>
      <c r="J546" s="118">
        <f t="shared" si="36"/>
        <v>0</v>
      </c>
      <c r="K546" s="117"/>
      <c r="L546" s="117"/>
      <c r="M546" s="118">
        <f t="shared" si="39"/>
        <v>0</v>
      </c>
      <c r="N546" s="117"/>
      <c r="O546" s="117"/>
      <c r="P546" s="118">
        <f t="shared" si="37"/>
        <v>0</v>
      </c>
      <c r="Q546" s="117"/>
      <c r="R546" s="117"/>
      <c r="S546" s="118">
        <f t="shared" si="38"/>
        <v>0</v>
      </c>
    </row>
    <row r="547" spans="8:19" ht="14.25">
      <c r="H547" s="117"/>
      <c r="I547" s="117"/>
      <c r="J547" s="118">
        <f t="shared" si="36"/>
        <v>0</v>
      </c>
      <c r="K547" s="117"/>
      <c r="L547" s="117"/>
      <c r="M547" s="118">
        <f t="shared" si="39"/>
        <v>0</v>
      </c>
      <c r="N547" s="117"/>
      <c r="O547" s="117"/>
      <c r="P547" s="118">
        <f t="shared" si="37"/>
        <v>0</v>
      </c>
      <c r="Q547" s="117"/>
      <c r="R547" s="117"/>
      <c r="S547" s="118">
        <f t="shared" si="38"/>
        <v>0</v>
      </c>
    </row>
    <row r="548" spans="8:19" ht="14.25">
      <c r="H548" s="117"/>
      <c r="I548" s="117"/>
      <c r="J548" s="118">
        <f t="shared" si="36"/>
        <v>0</v>
      </c>
      <c r="K548" s="117"/>
      <c r="L548" s="117"/>
      <c r="M548" s="118">
        <f t="shared" si="39"/>
        <v>0</v>
      </c>
      <c r="N548" s="117"/>
      <c r="O548" s="117"/>
      <c r="P548" s="118">
        <f t="shared" si="37"/>
        <v>0</v>
      </c>
      <c r="Q548" s="117"/>
      <c r="R548" s="117"/>
      <c r="S548" s="118">
        <f t="shared" si="38"/>
        <v>0</v>
      </c>
    </row>
    <row r="549" spans="8:19" ht="14.25">
      <c r="H549" s="117"/>
      <c r="I549" s="117"/>
      <c r="J549" s="118">
        <f t="shared" si="36"/>
        <v>0</v>
      </c>
      <c r="K549" s="117"/>
      <c r="L549" s="117"/>
      <c r="M549" s="118">
        <f t="shared" si="39"/>
        <v>0</v>
      </c>
      <c r="N549" s="117"/>
      <c r="O549" s="117"/>
      <c r="P549" s="118">
        <f t="shared" si="37"/>
        <v>0</v>
      </c>
      <c r="Q549" s="117"/>
      <c r="R549" s="117"/>
      <c r="S549" s="118">
        <f t="shared" si="38"/>
        <v>0</v>
      </c>
    </row>
    <row r="550" spans="8:19" ht="14.25">
      <c r="H550" s="117"/>
      <c r="I550" s="117"/>
      <c r="J550" s="118">
        <f t="shared" si="36"/>
        <v>0</v>
      </c>
      <c r="K550" s="117"/>
      <c r="L550" s="117"/>
      <c r="M550" s="118">
        <f t="shared" si="39"/>
        <v>0</v>
      </c>
      <c r="N550" s="117"/>
      <c r="O550" s="117"/>
      <c r="P550" s="118">
        <f t="shared" si="37"/>
        <v>0</v>
      </c>
      <c r="Q550" s="117"/>
      <c r="R550" s="117"/>
      <c r="S550" s="118">
        <f t="shared" si="38"/>
        <v>0</v>
      </c>
    </row>
    <row r="551" spans="8:19" ht="14.25">
      <c r="H551" s="117"/>
      <c r="I551" s="117"/>
      <c r="J551" s="118">
        <f t="shared" si="36"/>
        <v>0</v>
      </c>
      <c r="K551" s="117"/>
      <c r="L551" s="117"/>
      <c r="M551" s="118">
        <f t="shared" si="39"/>
        <v>0</v>
      </c>
      <c r="N551" s="117"/>
      <c r="O551" s="117"/>
      <c r="P551" s="118">
        <f t="shared" si="37"/>
        <v>0</v>
      </c>
      <c r="Q551" s="117"/>
      <c r="R551" s="117"/>
      <c r="S551" s="118">
        <f t="shared" si="38"/>
        <v>0</v>
      </c>
    </row>
    <row r="552" spans="8:19" ht="14.25">
      <c r="H552" s="117"/>
      <c r="I552" s="117"/>
      <c r="J552" s="118">
        <f t="shared" si="36"/>
        <v>0</v>
      </c>
      <c r="K552" s="117"/>
      <c r="L552" s="117"/>
      <c r="M552" s="118">
        <f t="shared" ref="M552:M554" si="40">K552*L552</f>
        <v>0</v>
      </c>
      <c r="N552" s="117"/>
      <c r="O552" s="117"/>
      <c r="P552" s="118">
        <f t="shared" si="37"/>
        <v>0</v>
      </c>
      <c r="Q552" s="117"/>
      <c r="R552" s="117"/>
      <c r="S552" s="118">
        <f t="shared" si="38"/>
        <v>0</v>
      </c>
    </row>
    <row r="553" spans="8:19" ht="14.25">
      <c r="H553" s="117"/>
      <c r="I553" s="117"/>
      <c r="J553" s="118">
        <f t="shared" si="36"/>
        <v>0</v>
      </c>
      <c r="K553" s="117"/>
      <c r="L553" s="117"/>
      <c r="M553" s="118">
        <f t="shared" si="40"/>
        <v>0</v>
      </c>
      <c r="N553" s="117"/>
      <c r="O553" s="117"/>
      <c r="P553" s="118">
        <f t="shared" si="37"/>
        <v>0</v>
      </c>
      <c r="Q553" s="117"/>
      <c r="R553" s="117"/>
      <c r="S553" s="118">
        <f t="shared" si="38"/>
        <v>0</v>
      </c>
    </row>
    <row r="554" spans="8:19" ht="14.25">
      <c r="H554" s="117"/>
      <c r="I554" s="117"/>
      <c r="J554" s="118">
        <f t="shared" si="36"/>
        <v>0</v>
      </c>
      <c r="K554" s="117"/>
      <c r="L554" s="117"/>
      <c r="M554" s="118">
        <f t="shared" si="40"/>
        <v>0</v>
      </c>
      <c r="N554" s="117"/>
      <c r="O554" s="117"/>
      <c r="P554" s="118">
        <f t="shared" si="37"/>
        <v>0</v>
      </c>
      <c r="Q554" s="117"/>
      <c r="R554" s="117"/>
      <c r="S554" s="118">
        <f t="shared" si="38"/>
        <v>0</v>
      </c>
    </row>
    <row r="555" spans="8:19" ht="14.25">
      <c r="H555" s="117"/>
      <c r="I555" s="117"/>
      <c r="J555" s="118">
        <f t="shared" si="36"/>
        <v>0</v>
      </c>
      <c r="K555" s="117"/>
      <c r="L555" s="117"/>
      <c r="M555" s="118">
        <f t="shared" ref="M555:M557" si="41">K555*L555</f>
        <v>0</v>
      </c>
      <c r="N555" s="117"/>
      <c r="O555" s="117"/>
      <c r="P555" s="118">
        <f t="shared" si="37"/>
        <v>0</v>
      </c>
      <c r="Q555" s="117"/>
      <c r="R555" s="117"/>
      <c r="S555" s="118">
        <f t="shared" si="38"/>
        <v>0</v>
      </c>
    </row>
    <row r="556" spans="8:19" ht="14.25">
      <c r="H556" s="117"/>
      <c r="I556" s="117"/>
      <c r="J556" s="118">
        <f t="shared" ref="J556:J557" si="42">H556*I556</f>
        <v>0</v>
      </c>
      <c r="K556" s="117"/>
      <c r="L556" s="117"/>
      <c r="M556" s="118">
        <f t="shared" si="41"/>
        <v>0</v>
      </c>
      <c r="N556" s="117"/>
      <c r="O556" s="117"/>
      <c r="P556" s="118">
        <f t="shared" ref="P556:P557" si="43">N556*O556</f>
        <v>0</v>
      </c>
      <c r="Q556" s="117"/>
      <c r="R556" s="117"/>
      <c r="S556" s="118">
        <f t="shared" si="38"/>
        <v>0</v>
      </c>
    </row>
    <row r="557" spans="8:19" ht="14.25">
      <c r="H557" s="117"/>
      <c r="I557" s="117"/>
      <c r="J557" s="118">
        <f t="shared" si="42"/>
        <v>0</v>
      </c>
      <c r="K557" s="117"/>
      <c r="L557" s="117"/>
      <c r="M557" s="118">
        <f t="shared" si="41"/>
        <v>0</v>
      </c>
      <c r="N557" s="117"/>
      <c r="O557" s="117"/>
      <c r="P557" s="118">
        <f t="shared" si="43"/>
        <v>0</v>
      </c>
      <c r="Q557" s="117"/>
      <c r="R557" s="117"/>
      <c r="S557" s="118">
        <f>Q557*R557</f>
        <v>0</v>
      </c>
    </row>
  </sheetData>
  <autoFilter ref="A4:M4" xr:uid="{00000000-0009-0000-0000-000001000000}">
    <sortState xmlns:xlrd2="http://schemas.microsoft.com/office/spreadsheetml/2017/richdata2" ref="A5:O65535">
      <sortCondition descending="1" ref="J4"/>
    </sortState>
  </autoFilter>
  <sortState xmlns:xlrd2="http://schemas.microsoft.com/office/spreadsheetml/2017/richdata2" ref="A5:U505">
    <sortCondition descending="1" ref="J5"/>
  </sortState>
  <mergeCells count="5">
    <mergeCell ref="H3:J3"/>
    <mergeCell ref="K3:M3"/>
    <mergeCell ref="C3:G3"/>
    <mergeCell ref="N3:P3"/>
    <mergeCell ref="Q3:S3"/>
  </mergeCells>
  <conditionalFormatting sqref="H5:I557 K5:L557 N5:O557 Q5:R557">
    <cfRule type="cellIs" dxfId="134" priority="95" stopIfTrue="1" operator="equal">
      <formula>5</formula>
    </cfRule>
    <cfRule type="cellIs" dxfId="133" priority="96" stopIfTrue="1" operator="equal">
      <formula>4</formula>
    </cfRule>
    <cfRule type="cellIs" dxfId="132" priority="97" stopIfTrue="1" operator="equal">
      <formula>3</formula>
    </cfRule>
    <cfRule type="cellIs" dxfId="131" priority="98" stopIfTrue="1" operator="equal">
      <formula>2</formula>
    </cfRule>
    <cfRule type="cellIs" dxfId="130" priority="99" stopIfTrue="1" operator="equal">
      <formula>1</formula>
    </cfRule>
  </conditionalFormatting>
  <conditionalFormatting sqref="H5:I557 K5:L557 N5:O557 Q5:R557">
    <cfRule type="cellIs" dxfId="129" priority="94" stopIfTrue="1" operator="equal">
      <formula>0</formula>
    </cfRule>
  </conditionalFormatting>
  <conditionalFormatting sqref="J5:J557 M5:M557 P5:P555 S5:S556">
    <cfRule type="cellIs" dxfId="128" priority="87" stopIfTrue="1" operator="equal">
      <formula>0</formula>
    </cfRule>
  </conditionalFormatting>
  <conditionalFormatting sqref="P556:P557">
    <cfRule type="cellIs" dxfId="127" priority="61" stopIfTrue="1" operator="equal">
      <formula>0</formula>
    </cfRule>
  </conditionalFormatting>
  <conditionalFormatting sqref="S557">
    <cfRule type="cellIs" dxfId="126" priority="48" stopIfTrue="1" operator="equal">
      <formula>0</formula>
    </cfRule>
  </conditionalFormatting>
  <pageMargins left="0.39370077848434448" right="0.39370077848434448" top="0.39370077848434448" bottom="0.39370077848434448" header="0" footer="0"/>
  <pageSetup scale="59" fitToHeight="0" orientation="landscape"/>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A1:A20"/>
  <sheetViews>
    <sheetView zoomScaleNormal="100" workbookViewId="0">
      <selection activeCell="A2" sqref="A2"/>
    </sheetView>
  </sheetViews>
  <sheetFormatPr defaultRowHeight="12.75"/>
  <cols>
    <col min="1" max="1" width="150.5703125" customWidth="1"/>
  </cols>
  <sheetData>
    <row r="1" spans="1:1" ht="20.25" customHeight="1">
      <c r="A1" s="90" t="s">
        <v>26</v>
      </c>
    </row>
    <row r="2" spans="1:1" ht="6.75" customHeight="1">
      <c r="A2" s="70"/>
    </row>
    <row r="3" spans="1:1" ht="12.75" customHeight="1">
      <c r="A3" s="70" t="s">
        <v>27</v>
      </c>
    </row>
    <row r="4" spans="1:1" ht="12.75" customHeight="1">
      <c r="A4" s="70" t="s">
        <v>28</v>
      </c>
    </row>
    <row r="5" spans="1:1" ht="12.75" customHeight="1">
      <c r="A5" s="70" t="s">
        <v>29</v>
      </c>
    </row>
    <row r="6" spans="1:1" ht="12.75" customHeight="1">
      <c r="A6" s="70" t="s">
        <v>30</v>
      </c>
    </row>
    <row r="7" spans="1:1" ht="12.75" customHeight="1">
      <c r="A7" s="70" t="s">
        <v>31</v>
      </c>
    </row>
    <row r="8" spans="1:1" ht="12.75" customHeight="1">
      <c r="A8" s="70" t="s">
        <v>32</v>
      </c>
    </row>
    <row r="9" spans="1:1" ht="12.75" customHeight="1">
      <c r="A9" s="70" t="s">
        <v>33</v>
      </c>
    </row>
    <row r="10" spans="1:1" ht="12.75" customHeight="1">
      <c r="A10" s="70" t="s">
        <v>34</v>
      </c>
    </row>
    <row r="11" spans="1:1" ht="12.75" customHeight="1">
      <c r="A11" s="70" t="s">
        <v>35</v>
      </c>
    </row>
    <row r="12" spans="1:1" ht="12.75" customHeight="1">
      <c r="A12" s="70" t="s">
        <v>36</v>
      </c>
    </row>
    <row r="13" spans="1:1" ht="12.75" customHeight="1">
      <c r="A13" s="70" t="s">
        <v>37</v>
      </c>
    </row>
    <row r="14" spans="1:1" ht="12.75" customHeight="1">
      <c r="A14" s="70" t="s">
        <v>38</v>
      </c>
    </row>
    <row r="15" spans="1:1" ht="12.75" customHeight="1">
      <c r="A15" s="70" t="s">
        <v>39</v>
      </c>
    </row>
    <row r="16" spans="1:1" ht="12.75" customHeight="1">
      <c r="A16" s="70" t="s">
        <v>40</v>
      </c>
    </row>
    <row r="17" spans="1:1" ht="12.75" customHeight="1">
      <c r="A17" s="70" t="s">
        <v>41</v>
      </c>
    </row>
    <row r="18" spans="1:1" ht="12.75" customHeight="1">
      <c r="A18" s="70" t="s">
        <v>42</v>
      </c>
    </row>
    <row r="20" spans="1:1" ht="25.5">
      <c r="A20" s="70" t="s">
        <v>43</v>
      </c>
    </row>
  </sheetData>
  <pageMargins left="0.7" right="0.7" top="0.75" bottom="0.75" header="0.3" footer="0.3"/>
  <pageSetup scale="72" fitToHeight="0" orientation="landscape"/>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Q41"/>
  <sheetViews>
    <sheetView zoomScale="90" zoomScaleNormal="90" workbookViewId="0">
      <selection activeCell="O2" sqref="O1:O1048576"/>
    </sheetView>
  </sheetViews>
  <sheetFormatPr defaultRowHeight="30" customHeight="1"/>
  <cols>
    <col min="1" max="1" width="3.28515625" customWidth="1"/>
    <col min="2" max="7" width="13.85546875" customWidth="1"/>
    <col min="9" max="9" width="4.7109375" style="50" customWidth="1"/>
    <col min="10" max="10" width="48.7109375" style="53" customWidth="1"/>
    <col min="11" max="16" width="5.7109375" style="50" customWidth="1"/>
  </cols>
  <sheetData>
    <row r="1" spans="1:17" ht="30" customHeight="1">
      <c r="A1" s="136" t="s">
        <v>44</v>
      </c>
      <c r="B1" s="136"/>
      <c r="C1" s="136"/>
      <c r="D1" s="136"/>
      <c r="E1" s="136"/>
      <c r="F1" s="136"/>
      <c r="G1" s="136"/>
      <c r="I1" s="51"/>
      <c r="J1" s="52"/>
      <c r="K1" s="139" t="s">
        <v>45</v>
      </c>
      <c r="L1" s="140"/>
      <c r="M1" s="141"/>
      <c r="N1" s="139" t="s">
        <v>46</v>
      </c>
      <c r="O1" s="140"/>
      <c r="P1" s="141"/>
      <c r="Q1" s="93"/>
    </row>
    <row r="2" spans="1:17" ht="30" customHeight="1">
      <c r="A2" s="142" t="s">
        <v>47</v>
      </c>
      <c r="B2" s="24">
        <v>5</v>
      </c>
      <c r="C2" s="113" t="str">
        <f>IFERROR(LEFT(IF(AND(K3=1,L3=5),I3&amp;",","")&amp;IF(AND(K4=1,L4=5),I4&amp;",",""),LEN(IF(AND(K3=1,L3=5),I3&amp;",","")&amp;IF(AND(K4=1,L4=5),I4&amp;",",""))-1),"")</f>
        <v/>
      </c>
      <c r="D2" s="112" t="str">
        <f>IFERROR(LEFT(IF(AND(K3=2,L3=5),I3&amp;",","")&amp;IF(AND(K4=2,L4=5),I4&amp;",",""),LEN(IF(AND(K3=2,L3=5),I3&amp;",","")&amp;IF(AND(K4=2,L4=5),I4&amp;",",""))-1),"")</f>
        <v/>
      </c>
      <c r="E2" s="111" t="str">
        <f>IFERROR(LEFT(IF(AND(K3=3,L3=5),I3&amp;",","")&amp;IF(AND(K4=3,L4=5),I4&amp;",",""),LEN(IF(AND(K3=3,L3=5),I3&amp;",","")&amp;IF(AND(K4=3,L4=5),I4&amp;",",""))-1),"")</f>
        <v/>
      </c>
      <c r="F2" s="111" t="str">
        <f>IFERROR(LEFT(IF(AND(K3=4,L3=5),I3&amp;",","")&amp;IF(AND(K4=4,L4=5),I4&amp;",",""),LEN(IF(AND(K3=4,L3=5),I3&amp;",","")&amp;IF(AND(K4=4,L4=5),I4&amp;",",""))-1),"")</f>
        <v/>
      </c>
      <c r="G2" s="111" t="str">
        <f>IFERROR(LEFT(IF(AND(K3=5,L3=5),I3&amp;",","")&amp;IF(AND(K4=5,L4=5),I4&amp;",",""),LEN(IF(AND(K3=5,L3=5),I3&amp;",","")&amp;IF(AND(K4=5,L4=5),I4&amp;",",""))-1),"")</f>
        <v/>
      </c>
      <c r="I2" s="47" t="s">
        <v>10</v>
      </c>
      <c r="J2" s="49" t="s">
        <v>11</v>
      </c>
      <c r="K2" s="48" t="s">
        <v>17</v>
      </c>
      <c r="L2" s="49" t="s">
        <v>18</v>
      </c>
      <c r="M2" s="49" t="s">
        <v>19</v>
      </c>
      <c r="N2" s="48" t="s">
        <v>17</v>
      </c>
      <c r="O2" s="49" t="s">
        <v>18</v>
      </c>
      <c r="P2" s="49" t="s">
        <v>19</v>
      </c>
    </row>
    <row r="3" spans="1:17" ht="30" customHeight="1">
      <c r="A3" s="142"/>
      <c r="B3" s="24">
        <v>4</v>
      </c>
      <c r="C3" s="114" t="str">
        <f>IFERROR(LEFT(IF(AND(K3=1,L3=4),I3&amp;",","")&amp;IF(AND(K4=1,L4=4),I4&amp;",",""),LEN(IF(AND(K3=1,L3=4),I3&amp;",","")&amp;IF(AND(K4=1,L4=4),I4&amp;",",""))-1),"")</f>
        <v/>
      </c>
      <c r="D3" s="113" t="str">
        <f>IFERROR(LEFT(IF(AND(K3=2,L3=4),I3&amp;",","")&amp;IF(AND(K4=2,L4=4),I4&amp;",",""),LEN(IF(AND(K3=2,L3=4),I3&amp;",","")&amp;IF(AND(K4=2,L4=4),I4&amp;",",""))-1),"")</f>
        <v/>
      </c>
      <c r="E3" s="112" t="str">
        <f>IFERROR(LEFT(IF(AND(K3=3,L3=4),I3&amp;",","")&amp;IF(AND(K4=3,L4=4),I4&amp;",",""),LEN(IF(AND(K3=3,L3=4),I3&amp;",","")&amp;IF(AND(K4=3,L4=4),I4&amp;",",""))-1),"")</f>
        <v/>
      </c>
      <c r="F3" s="111" t="str">
        <f>IFERROR(LEFT(IF(AND(K3=4,L3=4),I3&amp;",","")&amp;IF(AND(K4=4,L4=4),I4&amp;",",""),LEN(IF(AND(K3=4,L3=4),I3&amp;",","")&amp;IF(AND(K4=4,L4=4),I4&amp;",",""))-1),"")</f>
        <v/>
      </c>
      <c r="G3" s="111" t="str">
        <f>IFERROR(LEFT(IF(AND(K3=5,L3=4),I3&amp;",","")&amp;IF(AND(K4=5,L4=4),I4&amp;",",""),LEN(IF(AND(K3=5,L3=4),I3&amp;",","")&amp;IF(AND(K4=5,L4=4),I4&amp;",",""))-1),"")</f>
        <v/>
      </c>
      <c r="I3" s="56">
        <v>1</v>
      </c>
      <c r="J3" s="57" t="s">
        <v>20</v>
      </c>
      <c r="K3" s="91">
        <v>4</v>
      </c>
      <c r="L3" s="91">
        <v>3</v>
      </c>
      <c r="M3" s="56">
        <v>12</v>
      </c>
      <c r="N3" s="91">
        <v>4</v>
      </c>
      <c r="O3" s="91">
        <v>3</v>
      </c>
      <c r="P3" s="56">
        <v>12</v>
      </c>
    </row>
    <row r="4" spans="1:17" ht="30" customHeight="1">
      <c r="A4" s="142"/>
      <c r="B4" s="24">
        <v>3</v>
      </c>
      <c r="C4" s="115" t="str">
        <f>IFERROR(LEFT(IF(AND(K3=1,L3=3),I3&amp;",","")&amp;IF(AND(K4=1,L4=3),I4&amp;",",""),LEN(IF(AND(K3=1,L3=3),I3&amp;",","")&amp;IF(AND(K4=1,L4=3),I4&amp;",",""))-1),"")</f>
        <v/>
      </c>
      <c r="D4" s="114" t="str">
        <f>IFERROR(LEFT(IF(AND(K3=2,L3=3),I3&amp;",","")&amp;IF(AND(K4=2,L4=3),I4&amp;",",""),LEN(IF(AND(K3=2,L3=3),I3&amp;",","")&amp;IF(AND(K4=2,L4=3),I4&amp;",",""))-1),"")</f>
        <v/>
      </c>
      <c r="E4" s="113" t="str">
        <f>IFERROR(LEFT(IF(AND(K3=3,L3=3),I3&amp;",","")&amp;IF(AND(K4=3,L4=3),I4&amp;",",""),LEN(IF(AND(K3=3,L3=3),I3&amp;",","")&amp;IF(AND(K4=3,L4=3),I4&amp;",",""))-1),"")</f>
        <v/>
      </c>
      <c r="F4" s="112" t="str">
        <f>IFERROR(LEFT(IF(AND(K3=4,L3=3),I3&amp;",","")&amp;IF(AND(K4=4,L4=3),I4&amp;",",""),LEN(IF(AND(K3=4,L3=3),I3&amp;",","")&amp;IF(AND(K4=4,L4=3),I4&amp;",",""))-1),"")</f>
        <v>1</v>
      </c>
      <c r="G4" s="111" t="str">
        <f>IFERROR(LEFT(IF(AND(K3=5,L3=3),I3&amp;",","")&amp;IF(AND(K4=5,L4=3),I4&amp;",",""),LEN(IF(AND(K3=5,L3=3),I3&amp;",","")&amp;IF(AND(K4=5,L4=3),I4&amp;",",""))-1),"")</f>
        <v/>
      </c>
      <c r="I4" s="56">
        <v>2</v>
      </c>
      <c r="J4" s="57" t="s">
        <v>22</v>
      </c>
      <c r="K4" s="91">
        <v>5</v>
      </c>
      <c r="L4" s="91">
        <v>2</v>
      </c>
      <c r="M4" s="56">
        <v>10</v>
      </c>
      <c r="N4" s="91"/>
      <c r="O4" s="91"/>
      <c r="P4" s="56"/>
    </row>
    <row r="5" spans="1:17" ht="30" customHeight="1">
      <c r="A5" s="142"/>
      <c r="B5" s="24">
        <v>2</v>
      </c>
      <c r="C5" s="116" t="str">
        <f>IFERROR(LEFT(IF(AND(K3=1,L3=2),I3&amp;",","")&amp;IF(AND(K4=1,L4=2),I4&amp;",",""),LEN(IF(AND(K3=1,L3=2),I3&amp;",","")&amp;IF(AND(K4=1,L4=2),I4&amp;",",""))-1),"")</f>
        <v/>
      </c>
      <c r="D5" s="115" t="str">
        <f>IFERROR(LEFT(IF(AND(K3=2,L3=2),I3&amp;",","")&amp;IF(AND(K4=2,L4=2),I4&amp;",",""),LEN(IF(AND(K3=2,L3=2),I3&amp;",","")&amp;IF(AND(K4=2,L4=2),I4&amp;",",""))-1),"")</f>
        <v/>
      </c>
      <c r="E5" s="114" t="str">
        <f>IFERROR(LEFT(IF(AND(K3=3,L3=2),I3&amp;",","")&amp;IF(AND(K4=3,L4=2),I4&amp;",",""),LEN(IF(AND(K3=3,L3=2),I3&amp;",","")&amp;IF(AND(K4=3,L4=2),I4&amp;",",""))-1),"")</f>
        <v/>
      </c>
      <c r="F5" s="113" t="str">
        <f>IFERROR(LEFT(IF(AND(K3=4,L3=2),I3&amp;",","")&amp;IF(AND(K4=4,L4=2),I4&amp;",",""),LEN(IF(AND(K3=4,L3=2),I3&amp;",","")&amp;IF(AND(K4=4,L4=2),I4&amp;",",""))-1),"")</f>
        <v/>
      </c>
      <c r="G5" s="111" t="str">
        <f>IFERROR(LEFT(IF(AND(K3=5,L3=2),I3&amp;",","")&amp;IF(AND(K4=5,L4=2),I4&amp;",",""),LEN(IF(AND(K3=5,L3=2),I3&amp;",","")&amp;IF(AND(K4=5,L4=2),I4&amp;",",""))-1),"")</f>
        <v>2</v>
      </c>
      <c r="I5" s="56">
        <v>3</v>
      </c>
      <c r="J5" s="57" t="s">
        <v>24</v>
      </c>
      <c r="K5" s="91">
        <v>3</v>
      </c>
      <c r="L5" s="91">
        <v>4</v>
      </c>
      <c r="M5" s="56">
        <v>12</v>
      </c>
      <c r="N5" s="91">
        <v>3</v>
      </c>
      <c r="O5" s="91">
        <v>4</v>
      </c>
      <c r="P5" s="56">
        <v>12</v>
      </c>
    </row>
    <row r="6" spans="1:17" ht="30" customHeight="1">
      <c r="A6" s="142"/>
      <c r="B6" s="24">
        <v>1</v>
      </c>
      <c r="C6" s="116" t="str">
        <f>IFERROR(LEFT(IF(AND(K3=1,L3=1),I3&amp;",","")&amp;IF(AND(K4=1,L4=1),I4&amp;",",""),LEN(IF(AND(K3=1,L3=1),I3&amp;",","")&amp;IF(AND(K4=1,L4=1),I4&amp;",",""))-1),"")</f>
        <v/>
      </c>
      <c r="D6" s="116" t="str">
        <f>IFERROR(LEFT(IF(AND(K3=2,L3=1),I3&amp;",","")&amp;IF(AND(K4=2,L4=1),I4&amp;",",""),LEN(IF(AND(K3=2,L3=1),I3&amp;",","")&amp;IF(AND(K4=2,L4=1),I4&amp;",",""))-1),"")</f>
        <v/>
      </c>
      <c r="E6" s="115" t="str">
        <f>IFERROR(LEFT(IF(AND(K3=3,L3=1),I3&amp;",","")&amp;IF(AND(K4=3,L4=1),I4&amp;",",""),LEN(IF(AND(K3=3,L3=1),I3&amp;",","")&amp;IF(AND(K4=3,L4=1),I4&amp;",",""))-1),"")</f>
        <v/>
      </c>
      <c r="F6" s="113" t="str">
        <f>IFERROR(LEFT(IF(AND(K3=4,L3=1),I3&amp;",","")&amp;IF(AND(K4=4,L4=1),I4&amp;",",""),LEN(IF(AND(K3=4,L3=1),I3&amp;",","")&amp;IF(AND(K4=4,L4=1),I4&amp;",",""))-1),"")</f>
        <v/>
      </c>
      <c r="G6" s="112" t="str">
        <f>IFERROR(LEFT(IF(AND(K3=5,L3=1),I3&amp;",","")&amp;IF(AND(K4=5,L4=1),I4&amp;",",""),LEN(IF(AND(K3=5,L3=1),I3&amp;",","")&amp;IF(AND(K4=5,L4=1),I4&amp;",",""))-1),"")</f>
        <v/>
      </c>
      <c r="I6" s="56"/>
      <c r="J6" s="57"/>
      <c r="K6" s="91"/>
      <c r="L6" s="91"/>
      <c r="M6" s="56"/>
      <c r="N6" s="91"/>
      <c r="O6" s="91"/>
      <c r="P6" s="56"/>
    </row>
    <row r="7" spans="1:17" ht="30" customHeight="1">
      <c r="A7" s="142"/>
      <c r="B7" s="22"/>
      <c r="C7" s="24">
        <v>1</v>
      </c>
      <c r="D7" s="24">
        <v>2</v>
      </c>
      <c r="E7" s="24">
        <v>3</v>
      </c>
      <c r="F7" s="24">
        <v>4</v>
      </c>
      <c r="G7" s="24">
        <v>5</v>
      </c>
      <c r="I7" s="56"/>
      <c r="J7" s="57"/>
      <c r="K7" s="91"/>
      <c r="L7" s="91"/>
      <c r="M7" s="56"/>
      <c r="N7" s="91"/>
      <c r="O7" s="91"/>
      <c r="P7" s="56"/>
    </row>
    <row r="8" spans="1:17" ht="30" customHeight="1">
      <c r="A8" s="25"/>
      <c r="B8" s="138" t="s">
        <v>15</v>
      </c>
      <c r="C8" s="138"/>
      <c r="D8" s="138"/>
      <c r="E8" s="138"/>
      <c r="F8" s="138"/>
      <c r="G8" s="138"/>
      <c r="I8" s="56"/>
      <c r="J8" s="57"/>
      <c r="K8" s="91"/>
      <c r="L8" s="91"/>
      <c r="M8" s="56"/>
      <c r="N8" s="91"/>
      <c r="O8" s="91"/>
      <c r="P8" s="56"/>
    </row>
    <row r="9" spans="1:17" ht="30" customHeight="1">
      <c r="A9" s="136" t="s">
        <v>48</v>
      </c>
      <c r="B9" s="136"/>
      <c r="C9" s="136"/>
      <c r="D9" s="136"/>
      <c r="E9" s="136"/>
      <c r="F9" s="136"/>
      <c r="G9" s="136"/>
      <c r="I9" s="56"/>
      <c r="J9" s="57"/>
      <c r="K9" s="91"/>
      <c r="L9" s="91"/>
      <c r="M9" s="56"/>
      <c r="N9" s="91"/>
      <c r="O9" s="91"/>
      <c r="P9" s="56"/>
    </row>
    <row r="10" spans="1:17" ht="30" customHeight="1">
      <c r="A10" s="137" t="s">
        <v>47</v>
      </c>
      <c r="B10" s="24">
        <v>5</v>
      </c>
      <c r="C10" s="113" t="str">
        <f>IFERROR(LEFT(IF(AND(N3=1,O3=5),I3&amp;",","")&amp;IF(AND(N4=1,O4=5),I4&amp;",",""),LEN(IF(AND(N3=1,O3=5),I3&amp;",","")&amp;IF(AND(N4=1,O4=5),I4&amp;",",""))-1),"")</f>
        <v/>
      </c>
      <c r="D10" s="112" t="str">
        <f>IFERROR(LEFT(IF(AND(N3=2,O3=5),I3&amp;",","")&amp;IF(AND(N4=2,O4=5),I4&amp;",",""),LEN(IF(AND(N3=2,O3=5),I3&amp;",","")&amp;IF(AND(N4=2,O4=5),I4&amp;",",""))-1),"")</f>
        <v/>
      </c>
      <c r="E10" s="111" t="str">
        <f>IFERROR(LEFT(IF(AND(N3=3,O3=5),I3&amp;",","")&amp;IF(AND(N4=3,O4=5),I4&amp;",",""),LEN(IF(AND(N3=3,O3=5),I3&amp;",","")&amp;IF(AND(N4=3,O4=5),I4&amp;",",""))-1),"")</f>
        <v/>
      </c>
      <c r="F10" s="111" t="str">
        <f>IFERROR(LEFT(IF(AND(N3=4,O3=5),I3&amp;",","")&amp;IF(AND(N4=4,O4=5),I4&amp;",",""),LEN(IF(AND(N3=4,O3=5),I3&amp;",","")&amp;IF(AND(N4=4,O4=5),I4&amp;",",""))-1),"")</f>
        <v/>
      </c>
      <c r="G10" s="111" t="str">
        <f>IFERROR(LEFT(IF(AND(N3=5,O3=5),I3&amp;",","")&amp;IF(AND(N4=5,O4=5),I4&amp;",",""),LEN(IF(AND(N3=5,O3=5),I3&amp;",","")&amp;IF(AND(N4=5,O4=5),I4&amp;",",""))-1),"")</f>
        <v/>
      </c>
      <c r="I10" s="56"/>
      <c r="J10" s="57"/>
      <c r="K10" s="91"/>
      <c r="L10" s="91"/>
      <c r="M10" s="56"/>
      <c r="N10" s="91"/>
      <c r="O10" s="91"/>
      <c r="P10" s="56"/>
    </row>
    <row r="11" spans="1:17" ht="30" customHeight="1">
      <c r="A11" s="137"/>
      <c r="B11" s="24">
        <v>4</v>
      </c>
      <c r="C11" s="114" t="str">
        <f>IFERROR(LEFT(IF(AND(N3=1,O3=4),I3&amp;",","")&amp;IF(AND(N4=1,O4=4),I4&amp;",",""),LEN(IF(AND(N3=1,O3=4),I3&amp;",","")&amp;IF(AND(N4=1,O4=4),I4&amp;",",""))-1),"")</f>
        <v/>
      </c>
      <c r="D11" s="113" t="str">
        <f>IFERROR(LEFT(IF(AND(N3=2,O3=4),I3&amp;",","")&amp;IF(AND(N4=2,O4=4),I4&amp;",",""),LEN(IF(AND(N3=2,O3=4),I3&amp;",","")&amp;IF(AND(N4=2,O4=4),I4&amp;",",""))-1),"")</f>
        <v/>
      </c>
      <c r="E11" s="112" t="str">
        <f>IFERROR(LEFT(IF(AND(N3=3,O3=4),I3&amp;",","")&amp;IF(AND(N4=3,O4=4),I4&amp;",",""),LEN(IF(AND(N3=3,O3=4),I3&amp;",","")&amp;IF(AND(N4=3,O4=4),I4&amp;",",""))-1),"")</f>
        <v/>
      </c>
      <c r="F11" s="111" t="str">
        <f>IFERROR(LEFT(IF(AND(N3=4,O3=4),I3&amp;",","")&amp;IF(AND(N4=4,O4=4),I4&amp;",",""),LEN(IF(AND(N3=4,O3=4),I3&amp;",","")&amp;IF(AND(N4=4,O4=4),I4&amp;",",""))-1),"")</f>
        <v/>
      </c>
      <c r="G11" s="111" t="str">
        <f>IFERROR(LEFT(IF(AND(N3=5,O3=4),I3&amp;",","")&amp;IF(AND(N4=5,O4=4),I4&amp;",",""),LEN(IF(AND(N3=5,O3=4),I3&amp;",","")&amp;IF(AND(N4=5,O4=4),I4&amp;",",""))-1),"")</f>
        <v/>
      </c>
      <c r="I11" s="56"/>
      <c r="J11" s="57"/>
      <c r="K11" s="91"/>
      <c r="L11" s="91"/>
      <c r="M11" s="56"/>
      <c r="N11" s="91"/>
      <c r="O11" s="91"/>
      <c r="P11" s="56"/>
    </row>
    <row r="12" spans="1:17" ht="30" customHeight="1">
      <c r="A12" s="137"/>
      <c r="B12" s="24">
        <v>3</v>
      </c>
      <c r="C12" s="115" t="str">
        <f>IFERROR(LEFT(IF(AND(N3=1,O3=3),I3&amp;",","")&amp;IF(AND(N4=1,O4=3),I4&amp;",",""),LEN(IF(AND(N3=1,O3=3),I3&amp;",","")&amp;IF(AND(N4=1,O4=3),I4&amp;",",""))-1),"")</f>
        <v/>
      </c>
      <c r="D12" s="114" t="str">
        <f>IFERROR(LEFT(IF(AND(N3=2,O3=3),I3&amp;",","")&amp;IF(AND(N4=2,O4=3),I4&amp;",",""),LEN(IF(AND(N3=2,O3=3),I3&amp;",","")&amp;IF(AND(N4=2,O4=3),I4&amp;",",""))-1),"")</f>
        <v/>
      </c>
      <c r="E12" s="113" t="str">
        <f>IFERROR(LEFT(IF(AND(N3=3,O3=3),I3&amp;",","")&amp;IF(AND(N4=3,O4=3),I4&amp;",",""),LEN(IF(AND(N3=3,O3=3),I3&amp;",","")&amp;IF(AND(N4=3,O4=3),I4&amp;",",""))-1),"")</f>
        <v/>
      </c>
      <c r="F12" s="112" t="str">
        <f>IFERROR(LEFT(IF(AND(N3=4,O3=3),I3&amp;",","")&amp;IF(AND(N4=4,O4=3),I4&amp;",",""),LEN(IF(AND(N3=4,O3=3),I3&amp;",","")&amp;IF(AND(N4=4,O4=3),I4&amp;",",""))-1),"")</f>
        <v>1</v>
      </c>
      <c r="G12" s="111" t="str">
        <f>IFERROR(LEFT(IF(AND(N3=5,O3=3),I3&amp;",","")&amp;IF(AND(N4=5,O4=3),I4&amp;",",""),LEN(IF(AND(N3=5,O3=3),I3&amp;",","")&amp;IF(AND(N4=5,O4=3),I4&amp;",",""))-1),"")</f>
        <v/>
      </c>
      <c r="I12" s="56"/>
      <c r="J12" s="57"/>
      <c r="K12" s="91"/>
      <c r="L12" s="91"/>
      <c r="M12" s="56"/>
      <c r="N12" s="91"/>
      <c r="O12" s="91"/>
      <c r="P12" s="56"/>
    </row>
    <row r="13" spans="1:17" ht="30" customHeight="1">
      <c r="A13" s="137"/>
      <c r="B13" s="24">
        <v>2</v>
      </c>
      <c r="C13" s="116" t="str">
        <f>IFERROR(LEFT(IF(AND(N3=1,O3=2),I3&amp;",","")&amp;IF(AND(N4=1,O4=2),I4&amp;",",""),LEN(IF(AND(N3=1,O3=2),I3&amp;",","")&amp;IF(AND(N4=1,O4=2),I4&amp;",",""))-1),"")</f>
        <v/>
      </c>
      <c r="D13" s="115" t="str">
        <f>IFERROR(LEFT(IF(AND(N3=2,O3=2),I3&amp;",","")&amp;IF(AND(N4=2,O4=2),I4&amp;",",""),LEN(IF(AND(N3=2,O3=2),I3&amp;",","")&amp;IF(AND(N4=2,O4=2),I4&amp;",",""))-1),"")</f>
        <v/>
      </c>
      <c r="E13" s="114" t="str">
        <f>IFERROR(LEFT(IF(AND(N3=3,O3=2),I3&amp;",","")&amp;IF(AND(N4=3,O4=2),I4&amp;",",""),LEN(IF(AND(N3=3,O3=2),I3&amp;",","")&amp;IF(AND(N4=3,O4=2),I4&amp;",",""))-1),"")</f>
        <v/>
      </c>
      <c r="F13" s="113" t="str">
        <f>IFERROR(LEFT(IF(AND(N3=4,O3=2),I3&amp;",","")&amp;IF(AND(N4=4,O4=2),I4&amp;",",""),LEN(IF(AND(N3=4,O3=2),I3&amp;",","")&amp;IF(AND(N4=4,O4=2),I4&amp;",",""))-1),"")</f>
        <v/>
      </c>
      <c r="G13" s="111" t="str">
        <f>IFERROR(LEFT(IF(AND(N3=5,O3=2),I3&amp;",","")&amp;IF(AND(N4=5,O4=2),I4&amp;",",""),LEN(IF(AND(N3=5,O3=2),I3&amp;",","")&amp;IF(AND(N4=5,O4=2),I4&amp;",",""))-1),"")</f>
        <v/>
      </c>
      <c r="I13" s="56"/>
      <c r="J13" s="57"/>
      <c r="K13" s="91"/>
      <c r="L13" s="91"/>
      <c r="M13" s="56"/>
      <c r="N13" s="91"/>
      <c r="O13" s="91"/>
      <c r="P13" s="56"/>
    </row>
    <row r="14" spans="1:17" ht="30" customHeight="1">
      <c r="A14" s="137"/>
      <c r="B14" s="24">
        <v>1</v>
      </c>
      <c r="C14" s="116" t="str">
        <f>IFERROR(LEFT(IF(AND(N3=1,O3=1),I3&amp;",","")&amp;IF(AND(N4=1,O4=1),I4&amp;",",""),LEN(IF(AND(N3=1,O3=1),I3&amp;",","")&amp;IF(AND(N4=1,O4=1),I4&amp;",",""))-1),"")</f>
        <v/>
      </c>
      <c r="D14" s="116" t="str">
        <f>IFERROR(LEFT(IF(AND(N3=2,O3=1),I3&amp;",","")&amp;IF(AND(N4=2,O4=1),I4&amp;",",""),LEN(IF(AND(N3=2,O3=1),I3&amp;",","")&amp;IF(AND(N4=2,O4=1),I4&amp;",",""))-1),"")</f>
        <v/>
      </c>
      <c r="E14" s="115" t="str">
        <f>IFERROR(LEFT(IF(AND(N3=3,O3=1),I3&amp;",","")&amp;IF(AND(N4=3,O4=1),I4&amp;",",""),LEN(IF(AND(N3=3,O3=1),I3&amp;",","")&amp;IF(AND(N4=3,O4=1),I4&amp;",",""))-1),"")</f>
        <v/>
      </c>
      <c r="F14" s="113" t="str">
        <f>IFERROR(LEFT(IF(AND(N3=4,O3=1),I3&amp;",","")&amp;IF(AND(N4=4,O4=1),I4&amp;",",""),LEN(IF(AND(N3=4,O3=1),I3&amp;",","")&amp;IF(AND(N4=4,O4=1),I4&amp;",",""))-1),"")</f>
        <v/>
      </c>
      <c r="G14" s="112" t="str">
        <f>IFERROR(LEFT(IF(AND(N3=5,O3=1),I3&amp;",","")&amp;IF(AND(N4=5,O4=1),I4&amp;",",""),LEN(IF(AND(N3=5,O3=1),I3&amp;",","")&amp;IF(AND(N4=5,O4=1),I4&amp;",",""))-1),"")</f>
        <v/>
      </c>
      <c r="I14" s="56"/>
      <c r="J14" s="57"/>
      <c r="K14" s="91"/>
      <c r="L14" s="91"/>
      <c r="M14" s="56"/>
      <c r="N14" s="91"/>
      <c r="O14" s="91"/>
      <c r="P14" s="56"/>
    </row>
    <row r="15" spans="1:17" ht="30" customHeight="1">
      <c r="A15" s="137"/>
      <c r="B15" s="23"/>
      <c r="C15" s="24">
        <v>1</v>
      </c>
      <c r="D15" s="24">
        <v>2</v>
      </c>
      <c r="E15" s="24">
        <v>3</v>
      </c>
      <c r="F15" s="24">
        <v>4</v>
      </c>
      <c r="G15" s="24">
        <v>5</v>
      </c>
      <c r="I15" s="56"/>
      <c r="J15" s="57"/>
      <c r="K15" s="91"/>
      <c r="L15" s="91"/>
      <c r="M15" s="56"/>
      <c r="N15" s="91"/>
      <c r="O15" s="91"/>
      <c r="P15" s="56"/>
    </row>
    <row r="16" spans="1:17" ht="30" customHeight="1">
      <c r="A16" s="25"/>
      <c r="B16" s="138" t="s">
        <v>15</v>
      </c>
      <c r="C16" s="138"/>
      <c r="D16" s="138"/>
      <c r="E16" s="138"/>
      <c r="F16" s="138"/>
      <c r="G16" s="138"/>
      <c r="I16" s="56"/>
      <c r="J16" s="57"/>
      <c r="K16" s="91"/>
      <c r="L16" s="91"/>
      <c r="M16" s="56"/>
      <c r="N16" s="91"/>
      <c r="O16" s="91"/>
      <c r="P16" s="56"/>
    </row>
    <row r="17" spans="9:16" ht="30" customHeight="1">
      <c r="I17" s="56"/>
      <c r="J17" s="57"/>
      <c r="K17" s="91"/>
      <c r="L17" s="91"/>
      <c r="M17" s="56"/>
      <c r="N17" s="91"/>
      <c r="O17" s="91"/>
      <c r="P17" s="56"/>
    </row>
    <row r="18" spans="9:16" ht="30" customHeight="1">
      <c r="I18" s="56"/>
      <c r="J18" s="57"/>
      <c r="K18" s="91"/>
      <c r="L18" s="91"/>
      <c r="M18" s="56"/>
      <c r="N18" s="91"/>
      <c r="O18" s="91"/>
      <c r="P18" s="56"/>
    </row>
    <row r="19" spans="9:16" ht="30" customHeight="1">
      <c r="I19" s="56"/>
      <c r="J19" s="57"/>
      <c r="K19" s="91"/>
      <c r="L19" s="91"/>
      <c r="M19" s="56"/>
      <c r="N19" s="91"/>
      <c r="O19" s="91"/>
      <c r="P19" s="56"/>
    </row>
    <row r="20" spans="9:16" ht="30" customHeight="1">
      <c r="I20" s="56"/>
      <c r="J20" s="57"/>
      <c r="K20" s="91"/>
      <c r="L20" s="91"/>
      <c r="M20" s="56"/>
      <c r="N20" s="91"/>
      <c r="O20" s="91"/>
      <c r="P20" s="56"/>
    </row>
    <row r="21" spans="9:16" ht="30" customHeight="1">
      <c r="I21" s="56"/>
      <c r="J21" s="57"/>
      <c r="K21" s="91"/>
      <c r="L21" s="91"/>
      <c r="M21" s="56"/>
      <c r="N21" s="91"/>
      <c r="O21" s="91"/>
      <c r="P21" s="56"/>
    </row>
    <row r="22" spans="9:16" ht="30" customHeight="1">
      <c r="I22" s="56"/>
      <c r="J22" s="57"/>
      <c r="K22" s="91"/>
      <c r="L22" s="91"/>
      <c r="M22" s="56"/>
      <c r="N22" s="91"/>
      <c r="O22" s="91"/>
      <c r="P22" s="56"/>
    </row>
    <row r="23" spans="9:16" ht="30" customHeight="1">
      <c r="I23" s="56"/>
      <c r="J23" s="57"/>
      <c r="K23" s="91"/>
      <c r="L23" s="91"/>
      <c r="M23" s="56"/>
      <c r="N23" s="91"/>
      <c r="O23" s="91"/>
      <c r="P23" s="56"/>
    </row>
    <row r="24" spans="9:16" ht="30" customHeight="1">
      <c r="I24" s="56"/>
      <c r="J24" s="57"/>
      <c r="K24" s="91"/>
      <c r="L24" s="91"/>
      <c r="M24" s="56"/>
      <c r="N24" s="91"/>
      <c r="O24" s="91"/>
      <c r="P24" s="56"/>
    </row>
    <row r="25" spans="9:16" ht="30" customHeight="1">
      <c r="I25" s="56"/>
      <c r="J25" s="57"/>
      <c r="K25" s="91"/>
      <c r="L25" s="91"/>
      <c r="M25" s="56"/>
      <c r="N25" s="91"/>
      <c r="O25" s="91"/>
      <c r="P25" s="56"/>
    </row>
    <row r="26" spans="9:16" ht="30" customHeight="1">
      <c r="I26" s="56"/>
      <c r="J26" s="57"/>
      <c r="K26" s="91"/>
      <c r="L26" s="91"/>
      <c r="M26" s="56"/>
      <c r="N26" s="91"/>
      <c r="O26" s="91"/>
      <c r="P26" s="56"/>
    </row>
    <row r="27" spans="9:16" ht="30" customHeight="1">
      <c r="I27" s="56"/>
      <c r="J27" s="57"/>
      <c r="K27" s="91"/>
      <c r="L27" s="91"/>
      <c r="M27" s="56"/>
      <c r="N27" s="91"/>
      <c r="O27" s="91"/>
      <c r="P27" s="56"/>
    </row>
    <row r="28" spans="9:16" ht="30" customHeight="1">
      <c r="I28" s="56"/>
      <c r="J28" s="57"/>
      <c r="K28" s="91"/>
      <c r="L28" s="91"/>
      <c r="M28" s="56"/>
      <c r="N28" s="91"/>
      <c r="O28" s="91"/>
      <c r="P28" s="56"/>
    </row>
    <row r="29" spans="9:16" ht="30" customHeight="1">
      <c r="I29" s="56"/>
      <c r="J29" s="57"/>
      <c r="K29" s="91"/>
      <c r="L29" s="91"/>
      <c r="M29" s="56"/>
      <c r="N29" s="91"/>
      <c r="O29" s="91"/>
      <c r="P29" s="56"/>
    </row>
    <row r="30" spans="9:16" ht="30" customHeight="1">
      <c r="I30" s="56"/>
      <c r="J30" s="57"/>
      <c r="K30" s="91"/>
      <c r="L30" s="91"/>
      <c r="M30" s="56"/>
      <c r="N30" s="91"/>
      <c r="O30" s="91"/>
      <c r="P30" s="56"/>
    </row>
    <row r="31" spans="9:16" ht="30" customHeight="1">
      <c r="I31" s="56"/>
      <c r="J31" s="57"/>
      <c r="K31" s="91"/>
      <c r="L31" s="91"/>
      <c r="M31" s="56"/>
      <c r="N31" s="91"/>
      <c r="O31" s="91"/>
      <c r="P31" s="56"/>
    </row>
    <row r="32" spans="9:16" ht="30" customHeight="1">
      <c r="I32" s="56"/>
      <c r="J32" s="57"/>
      <c r="K32" s="91"/>
      <c r="L32" s="91"/>
      <c r="M32" s="56"/>
      <c r="N32" s="91"/>
      <c r="O32" s="91"/>
      <c r="P32" s="56"/>
    </row>
    <row r="33" spans="9:16" ht="30" customHeight="1">
      <c r="I33" s="56"/>
      <c r="J33" s="57"/>
      <c r="K33" s="91"/>
      <c r="L33" s="91"/>
      <c r="M33" s="56"/>
      <c r="N33" s="91"/>
      <c r="O33" s="91"/>
      <c r="P33" s="56"/>
    </row>
    <row r="34" spans="9:16" ht="30" customHeight="1">
      <c r="I34" s="56"/>
      <c r="J34" s="57"/>
      <c r="K34" s="91"/>
      <c r="L34" s="91"/>
      <c r="M34" s="56"/>
      <c r="N34" s="91"/>
      <c r="O34" s="91"/>
      <c r="P34" s="56"/>
    </row>
    <row r="35" spans="9:16" ht="30" customHeight="1">
      <c r="I35" s="56"/>
      <c r="J35" s="57"/>
      <c r="K35" s="91"/>
      <c r="L35" s="91"/>
      <c r="M35" s="56"/>
      <c r="N35" s="91"/>
      <c r="O35" s="91"/>
      <c r="P35" s="56"/>
    </row>
    <row r="36" spans="9:16" ht="30" customHeight="1">
      <c r="I36" s="56"/>
      <c r="J36" s="57"/>
      <c r="K36" s="91"/>
      <c r="L36" s="91"/>
      <c r="M36" s="56"/>
      <c r="N36" s="91"/>
      <c r="O36" s="91"/>
      <c r="P36" s="56"/>
    </row>
    <row r="37" spans="9:16" ht="30" customHeight="1">
      <c r="I37" s="56"/>
      <c r="J37" s="57"/>
      <c r="K37" s="91"/>
      <c r="L37" s="91"/>
      <c r="M37" s="56"/>
      <c r="N37" s="91"/>
      <c r="O37" s="91"/>
      <c r="P37" s="56"/>
    </row>
    <row r="38" spans="9:16" ht="30" customHeight="1">
      <c r="I38" s="56"/>
      <c r="J38" s="57"/>
      <c r="K38" s="91"/>
      <c r="L38" s="91"/>
      <c r="M38" s="56"/>
      <c r="N38" s="91"/>
      <c r="O38" s="91"/>
      <c r="P38" s="56"/>
    </row>
    <row r="39" spans="9:16" ht="30" customHeight="1">
      <c r="I39" s="56"/>
      <c r="J39" s="57"/>
      <c r="K39" s="91"/>
      <c r="L39" s="91"/>
      <c r="M39" s="56"/>
      <c r="N39" s="91"/>
      <c r="O39" s="91"/>
      <c r="P39" s="56"/>
    </row>
    <row r="40" spans="9:16" ht="30" customHeight="1">
      <c r="K40" s="92"/>
      <c r="L40" s="92"/>
      <c r="N40" s="92"/>
      <c r="O40" s="92"/>
    </row>
    <row r="41" spans="9:16" ht="30" customHeight="1">
      <c r="K41" s="92"/>
      <c r="L41" s="92"/>
      <c r="N41" s="92"/>
      <c r="O41" s="92"/>
    </row>
  </sheetData>
  <sortState xmlns:xlrd2="http://schemas.microsoft.com/office/spreadsheetml/2017/richdata2" ref="I3:P41">
    <sortCondition descending="1" ref="M5"/>
  </sortState>
  <mergeCells count="8">
    <mergeCell ref="A9:G9"/>
    <mergeCell ref="A10:A15"/>
    <mergeCell ref="B16:G16"/>
    <mergeCell ref="K1:M1"/>
    <mergeCell ref="N1:P1"/>
    <mergeCell ref="A1:G1"/>
    <mergeCell ref="A2:A7"/>
    <mergeCell ref="B8:G8"/>
  </mergeCells>
  <conditionalFormatting sqref="K3:L39">
    <cfRule type="cellIs" dxfId="125" priority="23" operator="equal">
      <formula>5</formula>
    </cfRule>
    <cfRule type="cellIs" dxfId="124" priority="24" operator="equal">
      <formula>4</formula>
    </cfRule>
    <cfRule type="cellIs" dxfId="123" priority="25" operator="equal">
      <formula>3</formula>
    </cfRule>
    <cfRule type="cellIs" dxfId="122" priority="26" operator="equal">
      <formula>2</formula>
    </cfRule>
    <cfRule type="cellIs" dxfId="121" priority="27" operator="equal">
      <formula>1</formula>
    </cfRule>
  </conditionalFormatting>
  <conditionalFormatting sqref="N3:O39">
    <cfRule type="cellIs" dxfId="120" priority="34" operator="equal">
      <formula>5</formula>
    </cfRule>
    <cfRule type="cellIs" dxfId="119" priority="35" operator="equal">
      <formula>4</formula>
    </cfRule>
    <cfRule type="cellIs" dxfId="118" priority="36" operator="equal">
      <formula>3</formula>
    </cfRule>
    <cfRule type="cellIs" dxfId="117" priority="37" operator="equal">
      <formula>2</formula>
    </cfRule>
    <cfRule type="cellIs" dxfId="116" priority="38" operator="equal">
      <formula>1</formula>
    </cfRule>
  </conditionalFormatting>
  <pageMargins left="0.7" right="0.7" top="0.75" bottom="0.75" header="0.3" footer="0.3"/>
  <pageSetup orientation="portrait" horizontalDpi="360" verticalDpi="36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K1:AM500"/>
  <sheetViews>
    <sheetView workbookViewId="0"/>
  </sheetViews>
  <sheetFormatPr defaultColWidth="9.140625" defaultRowHeight="12.75"/>
  <cols>
    <col min="1" max="1" width="2" style="21" customWidth="1"/>
    <col min="2" max="2" width="6.7109375" style="21" customWidth="1"/>
    <col min="3" max="8" width="9.140625" style="21" customWidth="1"/>
    <col min="9" max="9" width="22.85546875" style="21" customWidth="1"/>
    <col min="10" max="10" width="1.28515625" style="21" customWidth="1"/>
    <col min="11" max="11" width="23.5703125" style="21" bestFit="1" customWidth="1"/>
    <col min="12" max="12" width="13.85546875" style="29" bestFit="1" customWidth="1"/>
    <col min="13" max="13" width="17" style="29" bestFit="1" customWidth="1"/>
    <col min="14" max="14" width="16" style="29" bestFit="1" customWidth="1"/>
    <col min="15" max="15" width="15" style="29" bestFit="1" customWidth="1"/>
    <col min="16" max="16" width="11.7109375" style="29" bestFit="1" customWidth="1"/>
    <col min="17" max="17" width="13" style="29" bestFit="1" customWidth="1"/>
    <col min="18" max="20" width="9.140625" style="21" customWidth="1"/>
    <col min="21" max="16384" width="9.140625" style="21"/>
  </cols>
  <sheetData>
    <row r="1" spans="11:39">
      <c r="K1" s="26"/>
      <c r="L1" s="27"/>
      <c r="M1" s="27"/>
      <c r="N1" s="27"/>
      <c r="O1" s="27"/>
      <c r="P1" s="27"/>
      <c r="Q1" s="27"/>
      <c r="R1" s="26"/>
      <c r="S1" s="26"/>
      <c r="T1" s="26"/>
      <c r="U1" s="26"/>
      <c r="V1" s="26"/>
      <c r="W1" s="26"/>
      <c r="X1" s="26"/>
      <c r="Y1" s="26"/>
      <c r="Z1" s="26"/>
      <c r="AA1" s="26"/>
      <c r="AB1" s="26"/>
      <c r="AC1" s="26"/>
      <c r="AD1" s="26"/>
      <c r="AE1" s="26"/>
      <c r="AF1" s="26"/>
      <c r="AG1" s="26"/>
      <c r="AH1" s="26"/>
      <c r="AI1" s="26"/>
      <c r="AJ1" s="26"/>
      <c r="AK1" s="26"/>
      <c r="AL1" s="26"/>
      <c r="AM1" s="26"/>
    </row>
    <row r="2" spans="11:39">
      <c r="K2" s="26"/>
      <c r="L2" s="27"/>
      <c r="M2" s="27"/>
      <c r="N2" s="27"/>
      <c r="O2" s="27"/>
      <c r="P2" s="27"/>
      <c r="Q2" s="27"/>
      <c r="R2" s="26"/>
      <c r="S2" s="26"/>
      <c r="T2" s="26"/>
      <c r="U2" s="26"/>
      <c r="V2" s="26"/>
      <c r="W2" s="26"/>
      <c r="X2" s="26"/>
      <c r="Y2" s="26"/>
      <c r="Z2" s="26"/>
      <c r="AA2" s="26"/>
      <c r="AB2" s="26"/>
      <c r="AC2" s="26"/>
      <c r="AD2" s="26"/>
      <c r="AE2" s="26"/>
      <c r="AF2" s="26"/>
      <c r="AG2" s="26"/>
      <c r="AH2" s="26"/>
      <c r="AI2" s="26"/>
      <c r="AJ2" s="26"/>
      <c r="AK2" s="26"/>
      <c r="AL2" s="26"/>
      <c r="AM2" s="26"/>
    </row>
    <row r="3" spans="11:39">
      <c r="K3" s="26"/>
      <c r="L3" s="27"/>
      <c r="M3" s="27"/>
      <c r="N3" s="27"/>
      <c r="O3" s="27"/>
      <c r="P3" s="27"/>
      <c r="Q3" s="27"/>
      <c r="R3" s="26"/>
      <c r="S3" s="26"/>
      <c r="T3" s="26"/>
      <c r="U3" s="26"/>
      <c r="V3" s="26"/>
      <c r="W3" s="26"/>
      <c r="X3" s="26"/>
      <c r="Y3" s="26"/>
      <c r="Z3" s="26"/>
      <c r="AA3" s="26"/>
      <c r="AB3" s="26"/>
      <c r="AC3" s="26"/>
      <c r="AD3" s="26"/>
      <c r="AE3" s="26"/>
      <c r="AF3" s="26"/>
      <c r="AG3" s="26"/>
      <c r="AH3" s="26"/>
      <c r="AI3" s="26"/>
      <c r="AJ3" s="26"/>
      <c r="AK3" s="26"/>
      <c r="AL3" s="26"/>
      <c r="AM3" s="26"/>
    </row>
    <row r="4" spans="11:39">
      <c r="K4" s="101" t="s">
        <v>12</v>
      </c>
      <c r="L4" s="102" t="s">
        <v>49</v>
      </c>
      <c r="M4" s="102" t="s">
        <v>50</v>
      </c>
      <c r="N4" s="102" t="s">
        <v>51</v>
      </c>
      <c r="O4" s="102" t="s">
        <v>52</v>
      </c>
      <c r="P4" s="102" t="s">
        <v>53</v>
      </c>
      <c r="Q4" s="26"/>
      <c r="R4" s="26"/>
      <c r="S4" s="26"/>
      <c r="T4" s="26"/>
      <c r="U4" s="26"/>
      <c r="V4" s="26"/>
      <c r="W4" s="26"/>
      <c r="X4" s="26"/>
      <c r="Y4" s="26"/>
      <c r="Z4" s="26"/>
      <c r="AA4" s="26"/>
      <c r="AB4" s="26"/>
      <c r="AC4" s="26"/>
      <c r="AD4" s="26"/>
      <c r="AE4" s="26"/>
      <c r="AF4" s="26"/>
      <c r="AG4" s="26"/>
      <c r="AH4" s="26"/>
      <c r="AI4" s="26"/>
      <c r="AJ4" s="26"/>
      <c r="AK4" s="26"/>
      <c r="AL4" s="26"/>
      <c r="AM4" s="26"/>
    </row>
    <row r="5" spans="11:39">
      <c r="K5" s="101" t="s">
        <v>53</v>
      </c>
      <c r="L5" s="103"/>
      <c r="M5" s="103"/>
      <c r="N5" s="103"/>
      <c r="O5" s="103"/>
      <c r="P5" s="102"/>
      <c r="Q5" s="26"/>
      <c r="R5" s="27"/>
      <c r="S5" s="27"/>
      <c r="T5" s="27"/>
      <c r="U5" s="27"/>
      <c r="V5" s="27"/>
      <c r="W5" s="27"/>
      <c r="X5" s="27"/>
      <c r="Y5" s="27"/>
      <c r="Z5" s="27"/>
      <c r="AA5" s="27"/>
      <c r="AB5" s="26"/>
      <c r="AC5" s="27"/>
      <c r="AD5" s="27"/>
      <c r="AE5" s="27"/>
      <c r="AF5" s="27"/>
      <c r="AG5" s="27"/>
      <c r="AH5" s="27"/>
      <c r="AI5" s="27"/>
      <c r="AJ5" s="27"/>
      <c r="AK5" s="27"/>
      <c r="AL5" s="27"/>
      <c r="AM5" s="26"/>
    </row>
    <row r="6" spans="11:39">
      <c r="K6" s="97"/>
      <c r="L6" s="98"/>
      <c r="M6" s="98"/>
      <c r="N6" s="98"/>
      <c r="O6" s="98"/>
      <c r="P6" s="98"/>
      <c r="Q6" s="26"/>
      <c r="R6" s="27"/>
      <c r="S6" s="27"/>
      <c r="T6" s="27"/>
      <c r="U6" s="27"/>
      <c r="V6" s="27"/>
      <c r="W6" s="27"/>
      <c r="X6" s="27"/>
      <c r="Y6" s="27"/>
      <c r="Z6" s="27"/>
      <c r="AA6" s="27"/>
      <c r="AB6" s="26"/>
      <c r="AC6" s="27"/>
      <c r="AD6" s="27"/>
      <c r="AE6" s="27"/>
      <c r="AF6" s="27"/>
      <c r="AG6" s="27"/>
      <c r="AH6" s="27"/>
      <c r="AI6" s="27"/>
      <c r="AJ6" s="27"/>
      <c r="AK6" s="27"/>
      <c r="AL6" s="27"/>
      <c r="AM6" s="26"/>
    </row>
    <row r="7" spans="11:39" ht="15" customHeight="1">
      <c r="K7" s="97"/>
      <c r="L7" s="98"/>
      <c r="M7" s="98"/>
      <c r="N7" s="98"/>
      <c r="O7" s="98"/>
      <c r="P7" s="98"/>
      <c r="Q7" s="26"/>
      <c r="R7" s="27"/>
      <c r="S7" s="27"/>
      <c r="T7" s="27"/>
      <c r="U7" s="27"/>
      <c r="V7" s="27"/>
      <c r="W7" s="27"/>
      <c r="X7" s="27"/>
      <c r="Y7" s="27"/>
      <c r="Z7" s="27"/>
      <c r="AA7" s="27"/>
      <c r="AB7" s="26"/>
      <c r="AC7" s="27"/>
      <c r="AD7" s="27"/>
      <c r="AE7" s="27"/>
      <c r="AF7" s="27"/>
      <c r="AG7" s="27"/>
      <c r="AH7" s="27"/>
      <c r="AI7" s="27"/>
      <c r="AJ7" s="27"/>
      <c r="AK7" s="27"/>
      <c r="AL7" s="27"/>
      <c r="AM7" s="26"/>
    </row>
    <row r="8" spans="11:39" ht="12.75" customHeight="1">
      <c r="K8" s="97"/>
      <c r="L8" s="98"/>
      <c r="M8" s="98"/>
      <c r="N8" s="98"/>
      <c r="O8" s="98"/>
      <c r="P8" s="98"/>
      <c r="Q8" s="26"/>
      <c r="R8" s="27"/>
      <c r="S8" s="27"/>
      <c r="T8" s="27"/>
      <c r="U8" s="27"/>
      <c r="V8" s="27"/>
      <c r="W8" s="27"/>
      <c r="X8" s="27"/>
      <c r="Y8" s="27"/>
      <c r="Z8" s="27"/>
      <c r="AA8" s="27"/>
      <c r="AB8" s="26"/>
      <c r="AC8" s="27"/>
      <c r="AD8" s="27"/>
      <c r="AE8" s="27"/>
      <c r="AF8" s="27"/>
      <c r="AG8" s="27"/>
      <c r="AH8" s="27"/>
      <c r="AI8" s="27"/>
      <c r="AJ8" s="27"/>
      <c r="AK8" s="27"/>
      <c r="AL8" s="27"/>
      <c r="AM8" s="26"/>
    </row>
    <row r="9" spans="11:39">
      <c r="K9" s="97"/>
      <c r="L9" s="98"/>
      <c r="M9" s="98"/>
      <c r="N9" s="98"/>
      <c r="O9" s="98"/>
      <c r="P9" s="98"/>
      <c r="Q9" s="26"/>
      <c r="R9" s="27"/>
      <c r="S9" s="27"/>
      <c r="T9" s="27"/>
      <c r="U9" s="27"/>
      <c r="V9" s="27"/>
      <c r="W9" s="27"/>
      <c r="X9" s="27"/>
      <c r="Y9" s="27"/>
      <c r="Z9" s="27"/>
      <c r="AA9" s="27"/>
      <c r="AB9" s="26"/>
      <c r="AC9" s="27"/>
      <c r="AD9" s="27"/>
      <c r="AE9" s="27"/>
      <c r="AF9" s="27"/>
      <c r="AG9" s="27"/>
      <c r="AH9" s="27"/>
      <c r="AI9" s="27"/>
      <c r="AJ9" s="27"/>
      <c r="AK9" s="27"/>
      <c r="AL9" s="27"/>
      <c r="AM9" s="26"/>
    </row>
    <row r="10" spans="11:39">
      <c r="K10" s="97"/>
      <c r="L10" s="98"/>
      <c r="M10" s="98"/>
      <c r="N10" s="98"/>
      <c r="O10" s="98"/>
      <c r="P10" s="98"/>
      <c r="Q10" s="26"/>
      <c r="R10" s="27"/>
      <c r="S10" s="27"/>
      <c r="T10" s="27"/>
      <c r="U10" s="27"/>
      <c r="V10" s="27"/>
      <c r="W10" s="27"/>
      <c r="X10" s="27"/>
      <c r="Y10" s="27"/>
      <c r="Z10" s="27"/>
      <c r="AA10" s="27"/>
      <c r="AB10" s="26"/>
      <c r="AC10" s="27"/>
      <c r="AD10" s="27"/>
      <c r="AE10" s="27"/>
      <c r="AF10" s="27"/>
      <c r="AG10" s="27"/>
      <c r="AH10" s="27"/>
      <c r="AI10" s="27"/>
      <c r="AJ10" s="27"/>
      <c r="AK10" s="27"/>
      <c r="AL10" s="27"/>
      <c r="AM10" s="26"/>
    </row>
    <row r="11" spans="11:39">
      <c r="K11" s="97"/>
      <c r="L11" s="98"/>
      <c r="M11" s="98"/>
      <c r="N11" s="98"/>
      <c r="O11" s="98"/>
      <c r="P11" s="98"/>
      <c r="Q11" s="26"/>
      <c r="R11" s="27"/>
      <c r="S11" s="27"/>
      <c r="T11" s="27"/>
      <c r="U11" s="27"/>
      <c r="V11" s="27"/>
      <c r="W11" s="27"/>
      <c r="X11" s="27"/>
      <c r="Y11" s="27"/>
      <c r="Z11" s="27"/>
      <c r="AA11" s="27"/>
      <c r="AB11" s="26"/>
      <c r="AC11" s="27"/>
      <c r="AD11" s="27"/>
      <c r="AE11" s="27"/>
      <c r="AF11" s="27"/>
      <c r="AG11" s="27"/>
      <c r="AH11" s="27"/>
      <c r="AI11" s="27"/>
      <c r="AJ11" s="27"/>
      <c r="AK11" s="27"/>
      <c r="AL11" s="27"/>
      <c r="AM11" s="26"/>
    </row>
    <row r="12" spans="11:39">
      <c r="K12" s="97"/>
      <c r="L12" s="98"/>
      <c r="M12" s="98"/>
      <c r="N12" s="98"/>
      <c r="O12" s="98"/>
      <c r="P12" s="98"/>
      <c r="Q12" s="26"/>
      <c r="R12" s="27"/>
      <c r="S12" s="27"/>
      <c r="T12" s="27"/>
      <c r="U12" s="27"/>
      <c r="V12" s="27"/>
      <c r="W12" s="27"/>
      <c r="X12" s="27"/>
      <c r="Y12" s="27"/>
      <c r="Z12" s="27"/>
      <c r="AA12" s="27"/>
      <c r="AB12" s="26"/>
      <c r="AC12" s="27"/>
      <c r="AD12" s="27"/>
      <c r="AE12" s="27"/>
      <c r="AF12" s="27"/>
      <c r="AG12" s="27"/>
      <c r="AH12" s="27"/>
      <c r="AI12" s="27"/>
      <c r="AJ12" s="27"/>
      <c r="AK12" s="27"/>
      <c r="AL12" s="27"/>
      <c r="AM12" s="26"/>
    </row>
    <row r="13" spans="11:39" ht="12.75" customHeight="1">
      <c r="K13" s="97"/>
      <c r="L13" s="98"/>
      <c r="M13" s="98"/>
      <c r="N13" s="98"/>
      <c r="O13" s="98"/>
      <c r="P13" s="98"/>
      <c r="Q13" s="26"/>
      <c r="R13" s="27"/>
      <c r="S13" s="27"/>
      <c r="T13" s="27"/>
      <c r="U13" s="27"/>
      <c r="V13" s="27"/>
      <c r="W13" s="27"/>
      <c r="X13" s="27"/>
      <c r="Y13" s="27"/>
      <c r="Z13" s="27"/>
      <c r="AA13" s="27"/>
      <c r="AB13" s="26"/>
      <c r="AC13" s="27"/>
      <c r="AD13" s="27"/>
      <c r="AE13" s="27"/>
      <c r="AF13" s="27"/>
      <c r="AG13" s="27"/>
      <c r="AH13" s="27"/>
      <c r="AI13" s="27"/>
      <c r="AJ13" s="27"/>
      <c r="AK13" s="27"/>
      <c r="AL13" s="27"/>
      <c r="AM13" s="26"/>
    </row>
    <row r="14" spans="11:39">
      <c r="K14" s="97"/>
      <c r="L14" s="98"/>
      <c r="M14" s="98"/>
      <c r="N14" s="98"/>
      <c r="O14" s="98"/>
      <c r="P14" s="98"/>
      <c r="Q14" s="26"/>
      <c r="R14" s="27"/>
      <c r="S14" s="27"/>
      <c r="T14" s="27"/>
      <c r="U14" s="27"/>
      <c r="V14" s="27"/>
      <c r="W14" s="27"/>
      <c r="X14" s="27"/>
      <c r="Y14" s="27"/>
      <c r="Z14" s="27"/>
      <c r="AA14" s="27"/>
      <c r="AB14" s="26"/>
      <c r="AC14" s="27"/>
      <c r="AD14" s="27"/>
      <c r="AE14" s="27"/>
      <c r="AF14" s="27"/>
      <c r="AG14" s="27"/>
      <c r="AH14" s="27"/>
      <c r="AI14" s="27"/>
      <c r="AJ14" s="27"/>
      <c r="AK14" s="27"/>
      <c r="AL14" s="27"/>
      <c r="AM14" s="26"/>
    </row>
    <row r="15" spans="11:39">
      <c r="K15" s="97"/>
      <c r="L15" s="98"/>
      <c r="M15" s="98"/>
      <c r="N15" s="98"/>
      <c r="O15" s="98"/>
      <c r="P15" s="98"/>
      <c r="Q15" s="27"/>
      <c r="R15" s="27"/>
      <c r="S15" s="27"/>
      <c r="T15" s="27"/>
      <c r="U15" s="27"/>
      <c r="V15" s="27"/>
      <c r="W15" s="27"/>
      <c r="X15" s="27"/>
      <c r="Y15" s="27"/>
      <c r="Z15" s="27"/>
      <c r="AA15" s="27"/>
      <c r="AB15" s="26"/>
      <c r="AC15" s="27"/>
      <c r="AD15" s="27"/>
      <c r="AE15" s="27"/>
      <c r="AF15" s="27"/>
      <c r="AG15" s="27"/>
      <c r="AH15" s="27"/>
      <c r="AI15" s="27"/>
      <c r="AJ15" s="27"/>
      <c r="AK15" s="27"/>
      <c r="AL15" s="27"/>
      <c r="AM15" s="26"/>
    </row>
    <row r="16" spans="11:39">
      <c r="K16" s="97"/>
      <c r="L16" s="98"/>
      <c r="M16" s="98"/>
      <c r="N16" s="98"/>
      <c r="O16" s="98"/>
      <c r="P16" s="98"/>
      <c r="Q16" s="27"/>
      <c r="R16" s="27"/>
      <c r="S16" s="27"/>
      <c r="T16" s="27"/>
      <c r="U16" s="27"/>
      <c r="V16" s="27"/>
      <c r="W16" s="27"/>
      <c r="X16" s="27"/>
      <c r="Y16" s="27"/>
      <c r="Z16" s="27"/>
      <c r="AA16" s="27"/>
      <c r="AB16" s="26"/>
      <c r="AC16" s="27"/>
      <c r="AD16" s="27"/>
      <c r="AE16" s="27"/>
      <c r="AF16" s="27"/>
      <c r="AG16" s="27"/>
      <c r="AH16" s="27"/>
      <c r="AI16" s="27"/>
      <c r="AJ16" s="27"/>
      <c r="AK16" s="27"/>
      <c r="AL16" s="27"/>
      <c r="AM16" s="26"/>
    </row>
    <row r="17" spans="11:39">
      <c r="K17" s="97"/>
      <c r="L17" s="98"/>
      <c r="M17" s="98"/>
      <c r="N17" s="98"/>
      <c r="O17" s="98"/>
      <c r="P17" s="98"/>
      <c r="Q17" s="27"/>
      <c r="R17" s="27"/>
      <c r="S17" s="27"/>
      <c r="T17" s="27"/>
      <c r="U17" s="27"/>
      <c r="V17" s="27"/>
      <c r="W17" s="27"/>
      <c r="X17" s="27"/>
      <c r="Y17" s="27"/>
      <c r="Z17" s="27"/>
      <c r="AA17" s="27"/>
      <c r="AB17" s="26"/>
      <c r="AC17" s="27"/>
      <c r="AD17" s="27"/>
      <c r="AE17" s="27"/>
      <c r="AF17" s="27"/>
      <c r="AG17" s="27"/>
      <c r="AH17" s="27"/>
      <c r="AI17" s="27"/>
      <c r="AJ17" s="27"/>
      <c r="AK17" s="27"/>
      <c r="AL17" s="27"/>
      <c r="AM17" s="26"/>
    </row>
    <row r="18" spans="11:39">
      <c r="K18" s="97"/>
      <c r="L18" s="98"/>
      <c r="M18" s="98"/>
      <c r="N18" s="98"/>
      <c r="O18" s="98"/>
      <c r="P18" s="98"/>
      <c r="Q18" s="27"/>
      <c r="R18" s="27"/>
      <c r="S18" s="27"/>
      <c r="T18" s="27"/>
      <c r="U18" s="27"/>
      <c r="V18" s="27"/>
      <c r="W18" s="27"/>
      <c r="X18" s="27"/>
      <c r="Y18" s="27"/>
      <c r="Z18" s="27"/>
      <c r="AA18" s="27"/>
      <c r="AB18" s="26"/>
      <c r="AC18" s="27"/>
      <c r="AD18" s="27"/>
      <c r="AE18" s="27"/>
      <c r="AF18" s="27"/>
      <c r="AG18" s="27"/>
      <c r="AH18" s="27"/>
      <c r="AI18" s="27"/>
      <c r="AJ18" s="27"/>
      <c r="AK18" s="27"/>
      <c r="AL18" s="27"/>
      <c r="AM18" s="26"/>
    </row>
    <row r="19" spans="11:39">
      <c r="K19" s="97"/>
      <c r="L19" s="98"/>
      <c r="M19" s="98"/>
      <c r="N19" s="98"/>
      <c r="O19" s="98"/>
      <c r="P19" s="98"/>
      <c r="Q19" s="27"/>
      <c r="R19" s="27"/>
      <c r="S19" s="27"/>
      <c r="T19" s="27"/>
      <c r="U19" s="27"/>
      <c r="V19" s="27"/>
      <c r="W19" s="27"/>
      <c r="X19" s="27"/>
      <c r="Y19" s="27"/>
      <c r="Z19" s="27"/>
      <c r="AA19" s="27"/>
      <c r="AB19" s="26"/>
      <c r="AC19" s="27"/>
      <c r="AD19" s="27"/>
      <c r="AE19" s="27"/>
      <c r="AF19" s="27"/>
      <c r="AG19" s="27"/>
      <c r="AH19" s="27"/>
      <c r="AI19" s="27"/>
      <c r="AJ19" s="27"/>
      <c r="AK19" s="27"/>
      <c r="AL19" s="27"/>
      <c r="AM19" s="26"/>
    </row>
    <row r="20" spans="11:39">
      <c r="K20" s="94"/>
      <c r="L20" s="98"/>
      <c r="M20" s="98"/>
      <c r="N20" s="98"/>
      <c r="O20" s="98"/>
      <c r="P20" s="98"/>
      <c r="Q20" s="27"/>
      <c r="R20" s="27"/>
      <c r="S20" s="27"/>
      <c r="T20" s="27"/>
      <c r="U20" s="27"/>
      <c r="V20" s="27"/>
      <c r="W20" s="27"/>
      <c r="X20" s="27"/>
      <c r="Y20" s="27"/>
      <c r="Z20" s="27"/>
      <c r="AA20" s="27"/>
      <c r="AB20" s="26"/>
      <c r="AC20" s="27"/>
      <c r="AD20" s="27"/>
      <c r="AE20" s="27"/>
      <c r="AF20" s="27"/>
      <c r="AG20" s="27"/>
      <c r="AH20" s="27"/>
      <c r="AI20" s="27"/>
      <c r="AJ20" s="27"/>
      <c r="AK20" s="27"/>
      <c r="AL20" s="27"/>
      <c r="AM20" s="26"/>
    </row>
    <row r="21" spans="11:39">
      <c r="K21" s="94"/>
      <c r="L21" s="98"/>
      <c r="M21" s="98"/>
      <c r="N21" s="98"/>
      <c r="O21" s="100"/>
      <c r="P21" s="98"/>
      <c r="Q21" s="27"/>
      <c r="R21" s="27"/>
      <c r="S21" s="27"/>
      <c r="T21" s="27"/>
      <c r="U21" s="27"/>
      <c r="V21" s="27"/>
      <c r="W21" s="27"/>
      <c r="X21" s="27"/>
      <c r="Y21" s="27"/>
      <c r="Z21" s="27"/>
      <c r="AA21" s="27"/>
      <c r="AB21" s="26"/>
      <c r="AC21" s="27"/>
      <c r="AD21" s="27"/>
      <c r="AE21" s="27"/>
      <c r="AF21" s="27"/>
      <c r="AG21" s="27"/>
      <c r="AH21" s="27"/>
      <c r="AI21" s="27"/>
      <c r="AJ21" s="27"/>
      <c r="AK21" s="27"/>
      <c r="AL21" s="27"/>
      <c r="AM21" s="26"/>
    </row>
    <row r="22" spans="11:39">
      <c r="K22" s="94"/>
      <c r="L22" s="98"/>
      <c r="M22" s="98"/>
      <c r="N22" s="98"/>
      <c r="O22" s="100"/>
      <c r="P22" s="98"/>
      <c r="Q22" s="27"/>
      <c r="R22" s="27"/>
      <c r="S22" s="27"/>
      <c r="T22" s="27"/>
      <c r="U22" s="27"/>
      <c r="V22" s="27"/>
      <c r="W22" s="27"/>
      <c r="X22" s="27"/>
      <c r="Y22" s="27"/>
      <c r="Z22" s="27"/>
      <c r="AA22" s="27"/>
      <c r="AB22" s="26"/>
      <c r="AC22" s="27"/>
      <c r="AD22" s="27"/>
      <c r="AE22" s="27"/>
      <c r="AF22" s="27"/>
      <c r="AG22" s="27"/>
      <c r="AH22" s="27"/>
      <c r="AI22" s="27"/>
      <c r="AJ22" s="27"/>
      <c r="AK22" s="27"/>
      <c r="AL22" s="27"/>
      <c r="AM22" s="26"/>
    </row>
    <row r="23" spans="11:39">
      <c r="K23" s="94"/>
      <c r="L23" s="98"/>
      <c r="M23" s="98"/>
      <c r="N23" s="98"/>
      <c r="O23" s="100"/>
      <c r="P23" s="100"/>
      <c r="Q23" s="27"/>
      <c r="R23" s="27"/>
      <c r="S23" s="27"/>
      <c r="T23" s="27"/>
      <c r="U23" s="27"/>
      <c r="V23" s="27"/>
      <c r="W23" s="27"/>
      <c r="X23" s="27"/>
      <c r="Y23" s="27"/>
      <c r="Z23" s="27"/>
      <c r="AA23" s="27"/>
      <c r="AB23" s="26"/>
      <c r="AC23" s="27"/>
      <c r="AD23" s="27"/>
      <c r="AE23" s="27"/>
      <c r="AF23" s="27"/>
      <c r="AG23" s="27"/>
      <c r="AH23" s="27"/>
      <c r="AI23" s="27"/>
      <c r="AJ23" s="27"/>
      <c r="AK23" s="27"/>
      <c r="AL23" s="27"/>
      <c r="AM23" s="26"/>
    </row>
    <row r="24" spans="11:39">
      <c r="K24" s="94"/>
      <c r="L24" s="98"/>
      <c r="M24" s="98"/>
      <c r="N24" s="98"/>
      <c r="O24" s="100"/>
      <c r="P24" s="100"/>
      <c r="Q24" s="27"/>
      <c r="R24" s="27"/>
      <c r="S24" s="27"/>
      <c r="T24" s="27"/>
      <c r="U24" s="27"/>
      <c r="V24" s="27"/>
      <c r="W24" s="27"/>
      <c r="X24" s="27"/>
      <c r="Y24" s="27"/>
      <c r="Z24" s="27"/>
      <c r="AA24" s="27"/>
      <c r="AB24" s="26"/>
      <c r="AC24" s="27"/>
      <c r="AD24" s="27"/>
      <c r="AE24" s="27"/>
      <c r="AF24" s="27"/>
      <c r="AG24" s="27"/>
      <c r="AH24" s="27"/>
      <c r="AI24" s="27"/>
      <c r="AJ24" s="27"/>
      <c r="AK24" s="27"/>
      <c r="AL24" s="27"/>
      <c r="AM24" s="26"/>
    </row>
    <row r="25" spans="11:39">
      <c r="K25" s="94"/>
      <c r="L25" s="98"/>
      <c r="M25" s="98"/>
      <c r="N25" s="98"/>
      <c r="O25" s="100"/>
      <c r="P25" s="100"/>
      <c r="Q25" s="27"/>
      <c r="R25" s="27"/>
      <c r="S25" s="27"/>
      <c r="T25" s="27"/>
      <c r="U25" s="27"/>
      <c r="V25" s="27"/>
      <c r="W25" s="27"/>
      <c r="X25" s="27"/>
      <c r="Y25" s="27"/>
      <c r="Z25" s="27"/>
      <c r="AA25" s="27"/>
      <c r="AB25" s="26"/>
      <c r="AC25" s="27"/>
      <c r="AD25" s="27"/>
      <c r="AE25" s="27"/>
      <c r="AF25" s="27"/>
      <c r="AG25" s="27"/>
      <c r="AH25" s="27"/>
      <c r="AI25" s="27"/>
      <c r="AJ25" s="27"/>
      <c r="AK25" s="27"/>
      <c r="AL25" s="27"/>
      <c r="AM25" s="26"/>
    </row>
    <row r="26" spans="11:39">
      <c r="K26" s="94"/>
      <c r="L26" s="98"/>
      <c r="M26" s="98"/>
      <c r="N26" s="98"/>
      <c r="O26" s="100"/>
      <c r="P26" s="100"/>
      <c r="Q26" s="27"/>
      <c r="R26" s="26"/>
      <c r="S26" s="26"/>
      <c r="T26" s="26"/>
      <c r="U26" s="26"/>
      <c r="V26" s="26"/>
      <c r="W26" s="26"/>
      <c r="X26" s="26"/>
      <c r="Y26" s="26"/>
      <c r="Z26" s="26"/>
      <c r="AA26" s="26"/>
      <c r="AB26" s="26"/>
      <c r="AC26" s="26"/>
      <c r="AD26" s="26"/>
      <c r="AE26" s="26"/>
      <c r="AF26" s="26"/>
      <c r="AG26" s="26"/>
      <c r="AH26" s="26"/>
      <c r="AI26" s="26"/>
      <c r="AJ26" s="26"/>
      <c r="AK26" s="26"/>
      <c r="AL26" s="26"/>
      <c r="AM26" s="26"/>
    </row>
    <row r="27" spans="11:39">
      <c r="K27" s="99"/>
      <c r="L27" s="98"/>
      <c r="M27" s="98"/>
      <c r="N27" s="98"/>
      <c r="O27" s="100"/>
      <c r="P27" s="100"/>
      <c r="Q27" s="27"/>
      <c r="R27" s="26"/>
      <c r="S27" s="26"/>
      <c r="T27" s="26"/>
      <c r="U27" s="26"/>
      <c r="V27" s="26"/>
      <c r="W27" s="26"/>
      <c r="X27" s="26"/>
      <c r="Y27" s="26"/>
      <c r="Z27" s="26"/>
      <c r="AA27" s="26"/>
      <c r="AB27" s="26"/>
      <c r="AC27" s="26"/>
      <c r="AD27" s="26"/>
      <c r="AE27" s="26"/>
      <c r="AF27" s="26"/>
      <c r="AG27" s="26"/>
      <c r="AH27" s="26"/>
      <c r="AI27" s="26"/>
      <c r="AJ27" s="26"/>
      <c r="AK27" s="26"/>
      <c r="AL27" s="26"/>
      <c r="AM27" s="26"/>
    </row>
    <row r="28" spans="11:39">
      <c r="K28" s="99"/>
      <c r="L28" s="98"/>
      <c r="M28" s="98"/>
      <c r="N28" s="98"/>
      <c r="O28" s="100"/>
      <c r="P28" s="100"/>
      <c r="Q28" s="27"/>
      <c r="R28" s="26"/>
      <c r="S28" s="26"/>
      <c r="T28" s="26"/>
      <c r="U28" s="26"/>
      <c r="V28" s="26"/>
      <c r="W28" s="26"/>
      <c r="X28" s="26"/>
      <c r="Y28" s="26"/>
      <c r="Z28" s="26"/>
      <c r="AA28" s="26"/>
      <c r="AB28" s="26"/>
      <c r="AC28" s="26"/>
      <c r="AD28" s="26"/>
      <c r="AE28" s="26"/>
      <c r="AF28" s="26"/>
      <c r="AG28" s="26"/>
      <c r="AH28" s="26"/>
      <c r="AI28" s="26"/>
      <c r="AJ28" s="26"/>
      <c r="AK28" s="26"/>
      <c r="AL28" s="26"/>
      <c r="AM28" s="26"/>
    </row>
    <row r="29" spans="11:39" ht="15">
      <c r="K29" s="99"/>
      <c r="L29" s="98"/>
      <c r="M29" s="98"/>
      <c r="N29" s="98"/>
      <c r="O29" s="100"/>
      <c r="P29" s="100"/>
      <c r="Q29" s="27"/>
      <c r="R29" s="25"/>
      <c r="S29" s="25"/>
      <c r="T29" s="25"/>
      <c r="U29" s="25"/>
      <c r="V29" s="25"/>
      <c r="W29" s="25"/>
      <c r="X29" s="25"/>
      <c r="Y29" s="25"/>
      <c r="Z29" s="25"/>
      <c r="AA29" s="25"/>
      <c r="AB29" s="25"/>
      <c r="AC29" s="25"/>
      <c r="AD29" s="25"/>
      <c r="AE29" s="25"/>
      <c r="AF29" s="25"/>
      <c r="AG29" s="25"/>
      <c r="AH29" s="25"/>
      <c r="AI29" s="25"/>
      <c r="AJ29" s="25"/>
      <c r="AK29" s="25"/>
      <c r="AL29" s="25"/>
      <c r="AM29" s="25"/>
    </row>
    <row r="30" spans="11:39" ht="15">
      <c r="K30" s="99"/>
      <c r="L30" s="98"/>
      <c r="M30" s="98"/>
      <c r="N30" s="98"/>
      <c r="O30" s="100"/>
      <c r="P30" s="100"/>
      <c r="Q30" s="27"/>
      <c r="R30" s="25"/>
      <c r="S30" s="25"/>
      <c r="T30" s="25"/>
      <c r="U30" s="25"/>
      <c r="V30" s="25"/>
      <c r="W30" s="25"/>
      <c r="X30" s="25"/>
      <c r="Y30" s="25"/>
      <c r="Z30" s="25"/>
      <c r="AA30" s="25"/>
      <c r="AB30" s="25"/>
      <c r="AC30" s="25"/>
      <c r="AD30" s="25"/>
      <c r="AE30" s="25"/>
      <c r="AF30" s="25"/>
      <c r="AG30" s="25"/>
      <c r="AH30" s="25"/>
      <c r="AI30" s="25"/>
      <c r="AJ30" s="25"/>
      <c r="AK30" s="25"/>
      <c r="AL30" s="25"/>
      <c r="AM30" s="25"/>
    </row>
    <row r="31" spans="11:39" ht="15">
      <c r="K31" s="99"/>
      <c r="L31" s="98"/>
      <c r="M31" s="98"/>
      <c r="N31" s="98"/>
      <c r="O31" s="100"/>
      <c r="P31" s="100"/>
      <c r="Q31" s="28"/>
      <c r="R31" s="25"/>
      <c r="S31" s="25"/>
      <c r="T31" s="25"/>
      <c r="U31" s="25"/>
      <c r="V31" s="25"/>
      <c r="W31" s="25"/>
      <c r="X31" s="25"/>
      <c r="Y31" s="25"/>
      <c r="Z31" s="25"/>
      <c r="AA31" s="25"/>
      <c r="AB31" s="25"/>
      <c r="AC31" s="25"/>
      <c r="AD31" s="25"/>
      <c r="AE31" s="25"/>
      <c r="AF31" s="25"/>
      <c r="AG31" s="25"/>
      <c r="AH31" s="25"/>
      <c r="AI31" s="25"/>
      <c r="AJ31" s="25"/>
      <c r="AK31" s="25"/>
      <c r="AL31" s="25"/>
      <c r="AM31" s="25"/>
    </row>
    <row r="32" spans="11:39" ht="15">
      <c r="K32" s="99"/>
      <c r="L32" s="98"/>
      <c r="M32" s="98"/>
      <c r="N32" s="98"/>
      <c r="O32" s="100"/>
      <c r="P32" s="100"/>
      <c r="Q32" s="28"/>
    </row>
    <row r="33" spans="11:16" ht="12.75" customHeight="1">
      <c r="K33" s="99"/>
      <c r="L33" s="98"/>
      <c r="M33" s="98"/>
      <c r="N33" s="98"/>
      <c r="O33" s="100"/>
      <c r="P33" s="100"/>
    </row>
    <row r="34" spans="11:16">
      <c r="K34" s="99"/>
      <c r="L34" s="98"/>
      <c r="M34" s="98"/>
      <c r="N34" s="98"/>
      <c r="O34" s="100"/>
      <c r="P34" s="100"/>
    </row>
    <row r="35" spans="11:16">
      <c r="K35" s="99"/>
      <c r="L35" s="98"/>
      <c r="M35" s="98"/>
      <c r="N35" s="98"/>
      <c r="O35" s="100"/>
      <c r="P35" s="100"/>
    </row>
    <row r="36" spans="11:16">
      <c r="K36" s="99"/>
      <c r="L36" s="98"/>
      <c r="M36" s="98"/>
      <c r="N36" s="98"/>
      <c r="O36" s="100"/>
      <c r="P36" s="100"/>
    </row>
    <row r="37" spans="11:16">
      <c r="K37" s="99"/>
      <c r="L37" s="98"/>
      <c r="M37" s="98"/>
      <c r="N37" s="98"/>
      <c r="O37" s="100"/>
      <c r="P37" s="100"/>
    </row>
    <row r="38" spans="11:16">
      <c r="K38" s="99"/>
      <c r="L38" s="98"/>
      <c r="M38" s="98"/>
      <c r="N38" s="98"/>
      <c r="O38" s="100"/>
      <c r="P38" s="100"/>
    </row>
    <row r="39" spans="11:16">
      <c r="K39" s="99"/>
      <c r="L39" s="98"/>
      <c r="M39" s="98"/>
      <c r="N39" s="98"/>
      <c r="O39" s="100"/>
      <c r="P39" s="100"/>
    </row>
    <row r="40" spans="11:16">
      <c r="K40" s="99"/>
      <c r="L40" s="98"/>
      <c r="M40" s="98"/>
      <c r="N40" s="98"/>
      <c r="O40" s="100"/>
      <c r="P40" s="100"/>
    </row>
    <row r="41" spans="11:16">
      <c r="K41" s="99"/>
      <c r="L41" s="98"/>
      <c r="M41" s="98"/>
      <c r="N41" s="98"/>
      <c r="O41" s="100"/>
      <c r="P41" s="100"/>
    </row>
    <row r="42" spans="11:16">
      <c r="K42" s="99"/>
      <c r="L42" s="98"/>
      <c r="M42" s="98"/>
      <c r="N42" s="98"/>
      <c r="O42" s="100"/>
      <c r="P42" s="100"/>
    </row>
    <row r="43" spans="11:16">
      <c r="K43" s="99"/>
      <c r="L43" s="98"/>
      <c r="M43" s="98"/>
      <c r="N43" s="98"/>
      <c r="O43" s="100"/>
      <c r="P43" s="100"/>
    </row>
    <row r="44" spans="11:16">
      <c r="K44" s="99"/>
      <c r="L44" s="98"/>
      <c r="M44" s="98"/>
      <c r="N44" s="98"/>
      <c r="O44" s="100"/>
      <c r="P44" s="100"/>
    </row>
    <row r="45" spans="11:16">
      <c r="K45" s="99"/>
      <c r="L45" s="98"/>
      <c r="M45" s="98"/>
      <c r="N45" s="98"/>
      <c r="O45" s="100"/>
      <c r="P45" s="100"/>
    </row>
    <row r="46" spans="11:16">
      <c r="K46" s="99"/>
      <c r="L46" s="100"/>
      <c r="M46" s="98"/>
      <c r="N46" s="98"/>
      <c r="O46" s="100"/>
      <c r="P46" s="100"/>
    </row>
    <row r="47" spans="11:16">
      <c r="K47" s="99"/>
      <c r="L47" s="100"/>
      <c r="M47" s="100"/>
      <c r="N47" s="100"/>
      <c r="O47" s="100"/>
      <c r="P47" s="100"/>
    </row>
    <row r="48" spans="11:16">
      <c r="K48" s="99"/>
      <c r="L48" s="100"/>
      <c r="M48" s="100"/>
      <c r="N48" s="100"/>
      <c r="O48" s="100"/>
      <c r="P48" s="100"/>
    </row>
    <row r="49" spans="11:16">
      <c r="K49" s="99"/>
      <c r="L49" s="100"/>
      <c r="M49" s="100"/>
      <c r="N49" s="100"/>
      <c r="O49" s="100"/>
      <c r="P49" s="100"/>
    </row>
    <row r="50" spans="11:16">
      <c r="K50" s="99"/>
      <c r="L50" s="100"/>
      <c r="M50" s="100"/>
      <c r="N50" s="100"/>
      <c r="O50" s="100"/>
      <c r="P50" s="100"/>
    </row>
    <row r="51" spans="11:16">
      <c r="K51" s="95"/>
      <c r="L51" s="96"/>
      <c r="M51" s="96"/>
      <c r="N51" s="96"/>
      <c r="O51" s="96"/>
      <c r="P51" s="96"/>
    </row>
    <row r="52" spans="11:16">
      <c r="K52" s="95"/>
      <c r="L52" s="96"/>
      <c r="M52" s="96"/>
      <c r="N52" s="96"/>
      <c r="O52" s="96"/>
      <c r="P52" s="96"/>
    </row>
    <row r="53" spans="11:16">
      <c r="K53" s="95"/>
      <c r="L53" s="96"/>
      <c r="M53" s="96"/>
      <c r="N53" s="96"/>
      <c r="O53" s="96"/>
      <c r="P53" s="96"/>
    </row>
    <row r="54" spans="11:16">
      <c r="K54" s="95"/>
      <c r="L54" s="96"/>
      <c r="M54" s="96"/>
      <c r="N54" s="96"/>
      <c r="O54" s="96"/>
      <c r="P54" s="96"/>
    </row>
    <row r="55" spans="11:16">
      <c r="K55" s="95"/>
      <c r="L55" s="96"/>
      <c r="M55" s="96"/>
      <c r="N55" s="96"/>
      <c r="O55" s="96"/>
      <c r="P55" s="96"/>
    </row>
    <row r="56" spans="11:16">
      <c r="K56" s="95"/>
      <c r="L56" s="96"/>
      <c r="M56" s="96"/>
      <c r="N56" s="96"/>
      <c r="O56" s="96"/>
      <c r="P56" s="96"/>
    </row>
    <row r="57" spans="11:16">
      <c r="K57" s="95"/>
      <c r="L57" s="96"/>
      <c r="M57" s="96"/>
      <c r="N57" s="96"/>
      <c r="O57" s="96"/>
      <c r="P57" s="96"/>
    </row>
    <row r="58" spans="11:16">
      <c r="K58" s="95"/>
      <c r="L58" s="96"/>
      <c r="M58" s="96"/>
      <c r="N58" s="96"/>
      <c r="O58" s="96"/>
      <c r="P58" s="96"/>
    </row>
    <row r="59" spans="11:16">
      <c r="K59" s="95"/>
      <c r="L59" s="96"/>
      <c r="M59" s="96"/>
      <c r="N59" s="96"/>
      <c r="O59" s="96"/>
      <c r="P59" s="96"/>
    </row>
    <row r="60" spans="11:16">
      <c r="K60" s="95"/>
      <c r="L60" s="96"/>
      <c r="M60" s="96"/>
      <c r="N60" s="96"/>
      <c r="O60" s="96"/>
      <c r="P60" s="96"/>
    </row>
    <row r="61" spans="11:16">
      <c r="K61" s="95"/>
      <c r="L61" s="96"/>
      <c r="M61" s="96"/>
      <c r="N61" s="96"/>
      <c r="O61" s="96"/>
      <c r="P61" s="96"/>
    </row>
    <row r="62" spans="11:16">
      <c r="K62" s="95"/>
      <c r="L62" s="96"/>
      <c r="M62" s="96"/>
      <c r="N62" s="96"/>
      <c r="O62" s="96"/>
      <c r="P62" s="96"/>
    </row>
    <row r="63" spans="11:16">
      <c r="K63" s="95"/>
      <c r="L63" s="96"/>
      <c r="M63" s="96"/>
      <c r="N63" s="96"/>
      <c r="O63" s="96"/>
      <c r="P63" s="96"/>
    </row>
    <row r="64" spans="11:16">
      <c r="K64" s="95"/>
      <c r="L64" s="96"/>
      <c r="M64" s="96"/>
      <c r="N64" s="96"/>
      <c r="O64" s="96"/>
      <c r="P64" s="96"/>
    </row>
    <row r="65" spans="11:16">
      <c r="K65" s="95"/>
      <c r="L65" s="96"/>
      <c r="M65" s="96"/>
      <c r="N65" s="96"/>
      <c r="O65" s="96"/>
      <c r="P65" s="96"/>
    </row>
    <row r="66" spans="11:16">
      <c r="K66" s="95"/>
      <c r="L66" s="96"/>
      <c r="M66" s="96"/>
      <c r="N66" s="96"/>
      <c r="O66" s="96"/>
      <c r="P66" s="96"/>
    </row>
    <row r="67" spans="11:16">
      <c r="K67" s="95"/>
      <c r="L67" s="96"/>
      <c r="M67" s="96"/>
      <c r="N67" s="96"/>
      <c r="O67" s="96"/>
      <c r="P67" s="96"/>
    </row>
    <row r="68" spans="11:16">
      <c r="K68" s="95"/>
      <c r="L68" s="96"/>
      <c r="M68" s="96"/>
      <c r="N68" s="96"/>
      <c r="O68" s="96"/>
      <c r="P68" s="96"/>
    </row>
    <row r="69" spans="11:16">
      <c r="K69" s="95"/>
      <c r="L69" s="96"/>
      <c r="M69" s="96"/>
      <c r="N69" s="96"/>
      <c r="O69" s="96"/>
      <c r="P69" s="96"/>
    </row>
    <row r="70" spans="11:16">
      <c r="K70" s="95"/>
      <c r="L70" s="96"/>
      <c r="M70" s="96"/>
      <c r="N70" s="96"/>
      <c r="O70" s="96"/>
      <c r="P70" s="96"/>
    </row>
    <row r="71" spans="11:16">
      <c r="K71" s="95"/>
      <c r="L71" s="96"/>
      <c r="M71" s="96"/>
      <c r="N71" s="96"/>
      <c r="O71" s="96"/>
      <c r="P71" s="96"/>
    </row>
    <row r="72" spans="11:16">
      <c r="K72" s="95"/>
      <c r="L72" s="96"/>
      <c r="M72" s="96"/>
      <c r="N72" s="96"/>
      <c r="O72" s="96"/>
      <c r="P72" s="96"/>
    </row>
    <row r="73" spans="11:16">
      <c r="K73" s="95"/>
      <c r="L73" s="96"/>
      <c r="M73" s="96"/>
      <c r="N73" s="96"/>
      <c r="O73" s="96"/>
      <c r="P73" s="96"/>
    </row>
    <row r="74" spans="11:16">
      <c r="K74" s="95"/>
      <c r="L74" s="96"/>
      <c r="M74" s="96"/>
      <c r="N74" s="96"/>
      <c r="O74" s="96"/>
      <c r="P74" s="96"/>
    </row>
    <row r="75" spans="11:16">
      <c r="K75" s="95"/>
      <c r="L75" s="96"/>
      <c r="M75" s="96"/>
      <c r="N75" s="96"/>
      <c r="O75" s="96"/>
      <c r="P75" s="96"/>
    </row>
    <row r="76" spans="11:16">
      <c r="K76" s="95"/>
      <c r="L76" s="96"/>
      <c r="M76" s="96"/>
      <c r="N76" s="96"/>
      <c r="O76" s="96"/>
      <c r="P76" s="96"/>
    </row>
    <row r="77" spans="11:16">
      <c r="K77" s="95"/>
      <c r="L77" s="96"/>
      <c r="M77" s="96"/>
      <c r="N77" s="96"/>
      <c r="O77" s="96"/>
      <c r="P77" s="96"/>
    </row>
    <row r="78" spans="11:16">
      <c r="K78" s="95"/>
      <c r="L78" s="96"/>
      <c r="M78" s="96"/>
      <c r="N78" s="96"/>
      <c r="O78" s="96"/>
      <c r="P78" s="96"/>
    </row>
    <row r="79" spans="11:16">
      <c r="K79" s="95"/>
      <c r="L79" s="96"/>
      <c r="M79" s="96"/>
      <c r="N79" s="96"/>
      <c r="O79" s="96"/>
      <c r="P79" s="96"/>
    </row>
    <row r="80" spans="11:16">
      <c r="K80" s="95"/>
      <c r="L80" s="96"/>
      <c r="M80" s="96"/>
      <c r="N80" s="96"/>
      <c r="O80" s="96"/>
      <c r="P80" s="96"/>
    </row>
    <row r="81" spans="11:16">
      <c r="K81" s="95"/>
      <c r="L81" s="96"/>
      <c r="M81" s="96"/>
      <c r="N81" s="96"/>
      <c r="O81" s="96"/>
      <c r="P81" s="96"/>
    </row>
    <row r="82" spans="11:16">
      <c r="K82" s="95"/>
      <c r="L82" s="96"/>
      <c r="M82" s="96"/>
      <c r="N82" s="96"/>
      <c r="O82" s="96"/>
      <c r="P82" s="96"/>
    </row>
    <row r="83" spans="11:16">
      <c r="K83" s="95"/>
      <c r="L83" s="96"/>
      <c r="M83" s="96"/>
      <c r="N83" s="96"/>
      <c r="O83" s="96"/>
      <c r="P83" s="96"/>
    </row>
    <row r="84" spans="11:16">
      <c r="K84" s="95"/>
      <c r="L84" s="96"/>
      <c r="M84" s="96"/>
      <c r="N84" s="96"/>
      <c r="O84" s="96"/>
      <c r="P84" s="96"/>
    </row>
    <row r="85" spans="11:16">
      <c r="K85" s="95"/>
      <c r="L85" s="96"/>
      <c r="M85" s="96"/>
      <c r="N85" s="96"/>
      <c r="O85" s="96"/>
      <c r="P85" s="96"/>
    </row>
    <row r="86" spans="11:16">
      <c r="K86" s="95"/>
      <c r="L86" s="96"/>
      <c r="M86" s="96"/>
      <c r="N86" s="96"/>
      <c r="O86" s="96"/>
      <c r="P86" s="96"/>
    </row>
    <row r="87" spans="11:16">
      <c r="K87" s="95"/>
      <c r="L87" s="96"/>
      <c r="M87" s="96"/>
      <c r="N87" s="96"/>
      <c r="O87" s="96"/>
      <c r="P87" s="96"/>
    </row>
    <row r="88" spans="11:16">
      <c r="K88" s="95"/>
      <c r="L88" s="96"/>
      <c r="M88" s="96"/>
      <c r="N88" s="96"/>
      <c r="O88" s="96"/>
      <c r="P88" s="96"/>
    </row>
    <row r="89" spans="11:16">
      <c r="K89" s="95"/>
      <c r="L89" s="96"/>
      <c r="M89" s="96"/>
      <c r="N89" s="96"/>
      <c r="O89" s="96"/>
      <c r="P89" s="96"/>
    </row>
    <row r="90" spans="11:16">
      <c r="K90" s="95"/>
      <c r="L90" s="96"/>
      <c r="M90" s="96"/>
      <c r="N90" s="96"/>
      <c r="O90" s="96"/>
      <c r="P90" s="96"/>
    </row>
    <row r="91" spans="11:16">
      <c r="K91" s="95"/>
      <c r="L91" s="96"/>
      <c r="M91" s="96"/>
      <c r="N91" s="96"/>
      <c r="O91" s="96"/>
      <c r="P91" s="96"/>
    </row>
    <row r="92" spans="11:16">
      <c r="K92" s="95"/>
      <c r="L92" s="96"/>
      <c r="M92" s="96"/>
      <c r="N92" s="96"/>
      <c r="O92" s="96"/>
      <c r="P92" s="96"/>
    </row>
    <row r="93" spans="11:16">
      <c r="K93" s="95"/>
      <c r="L93" s="96"/>
      <c r="M93" s="96"/>
      <c r="N93" s="96"/>
      <c r="O93" s="96"/>
      <c r="P93" s="96"/>
    </row>
    <row r="94" spans="11:16">
      <c r="K94" s="95"/>
      <c r="L94" s="96"/>
      <c r="M94" s="96"/>
      <c r="N94" s="96"/>
      <c r="O94" s="96"/>
      <c r="P94" s="96"/>
    </row>
    <row r="95" spans="11:16">
      <c r="K95" s="95"/>
      <c r="L95" s="96"/>
      <c r="M95" s="96"/>
      <c r="N95" s="96"/>
      <c r="O95" s="96"/>
      <c r="P95" s="96"/>
    </row>
    <row r="96" spans="11:16">
      <c r="K96" s="95"/>
      <c r="L96" s="96"/>
      <c r="M96" s="96"/>
      <c r="N96" s="96"/>
      <c r="O96" s="96"/>
      <c r="P96" s="96"/>
    </row>
    <row r="97" spans="11:16">
      <c r="K97" s="95"/>
      <c r="L97" s="96"/>
      <c r="M97" s="96"/>
      <c r="N97" s="96"/>
      <c r="O97" s="96"/>
      <c r="P97" s="96"/>
    </row>
    <row r="98" spans="11:16">
      <c r="K98" s="95"/>
      <c r="L98" s="96"/>
      <c r="M98" s="96"/>
      <c r="N98" s="96"/>
      <c r="O98" s="96"/>
      <c r="P98" s="96"/>
    </row>
    <row r="99" spans="11:16">
      <c r="K99" s="95"/>
      <c r="L99" s="96"/>
      <c r="M99" s="96"/>
      <c r="N99" s="96"/>
      <c r="O99" s="96"/>
      <c r="P99" s="96"/>
    </row>
    <row r="100" spans="11:16">
      <c r="K100" s="95"/>
      <c r="L100" s="96"/>
      <c r="M100" s="96"/>
      <c r="N100" s="96"/>
      <c r="O100" s="96"/>
      <c r="P100" s="96"/>
    </row>
    <row r="101" spans="11:16">
      <c r="K101" s="95"/>
      <c r="L101" s="96"/>
      <c r="M101" s="96"/>
      <c r="N101" s="96"/>
      <c r="O101" s="96"/>
      <c r="P101" s="96"/>
    </row>
    <row r="102" spans="11:16">
      <c r="K102" s="95"/>
      <c r="L102" s="96"/>
      <c r="M102" s="96"/>
      <c r="N102" s="96"/>
      <c r="O102" s="96"/>
      <c r="P102" s="96"/>
    </row>
    <row r="103" spans="11:16">
      <c r="K103" s="95"/>
      <c r="L103" s="96"/>
      <c r="M103" s="96"/>
      <c r="N103" s="96"/>
      <c r="O103" s="96"/>
      <c r="P103" s="96"/>
    </row>
    <row r="104" spans="11:16">
      <c r="K104" s="95"/>
      <c r="L104" s="96"/>
      <c r="M104" s="96"/>
      <c r="N104" s="96"/>
      <c r="O104" s="96"/>
      <c r="P104" s="96"/>
    </row>
    <row r="105" spans="11:16">
      <c r="K105" s="95"/>
      <c r="L105" s="96"/>
      <c r="M105" s="96"/>
      <c r="N105" s="96"/>
      <c r="O105" s="96"/>
      <c r="P105" s="96"/>
    </row>
    <row r="106" spans="11:16">
      <c r="K106" s="95"/>
      <c r="L106" s="96"/>
      <c r="M106" s="96"/>
      <c r="N106" s="96"/>
      <c r="O106" s="96"/>
      <c r="P106" s="96"/>
    </row>
    <row r="107" spans="11:16">
      <c r="K107" s="95"/>
      <c r="L107" s="96"/>
      <c r="M107" s="96"/>
      <c r="N107" s="96"/>
      <c r="O107" s="96"/>
      <c r="P107" s="96"/>
    </row>
    <row r="108" spans="11:16">
      <c r="K108" s="95"/>
      <c r="L108" s="96"/>
      <c r="M108" s="96"/>
      <c r="N108" s="96"/>
      <c r="O108" s="96"/>
      <c r="P108" s="96"/>
    </row>
    <row r="109" spans="11:16">
      <c r="K109" s="95"/>
      <c r="L109" s="96"/>
      <c r="M109" s="96"/>
      <c r="N109" s="96"/>
      <c r="O109" s="96"/>
      <c r="P109" s="96"/>
    </row>
    <row r="110" spans="11:16">
      <c r="K110" s="95"/>
      <c r="L110" s="96"/>
      <c r="M110" s="96"/>
      <c r="N110" s="96"/>
      <c r="O110" s="96"/>
      <c r="P110" s="96"/>
    </row>
    <row r="111" spans="11:16">
      <c r="K111" s="95"/>
      <c r="L111" s="96"/>
      <c r="M111" s="96"/>
      <c r="N111" s="96"/>
      <c r="O111" s="96"/>
      <c r="P111" s="96"/>
    </row>
    <row r="112" spans="11:16">
      <c r="K112" s="95"/>
      <c r="L112" s="96"/>
      <c r="M112" s="96"/>
      <c r="N112" s="96"/>
      <c r="O112" s="96"/>
      <c r="P112" s="96"/>
    </row>
    <row r="113" spans="11:16">
      <c r="K113" s="95"/>
      <c r="L113" s="96"/>
      <c r="M113" s="96"/>
      <c r="N113" s="96"/>
      <c r="O113" s="96"/>
      <c r="P113" s="96"/>
    </row>
    <row r="114" spans="11:16">
      <c r="K114" s="95"/>
      <c r="L114" s="96"/>
      <c r="M114" s="96"/>
      <c r="N114" s="96"/>
      <c r="O114" s="96"/>
      <c r="P114" s="96"/>
    </row>
    <row r="115" spans="11:16">
      <c r="K115" s="95"/>
      <c r="L115" s="96"/>
      <c r="M115" s="96"/>
      <c r="N115" s="96"/>
      <c r="O115" s="96"/>
      <c r="P115" s="96"/>
    </row>
    <row r="116" spans="11:16">
      <c r="K116" s="95"/>
      <c r="L116" s="96"/>
      <c r="M116" s="96"/>
      <c r="N116" s="96"/>
      <c r="O116" s="96"/>
      <c r="P116" s="96"/>
    </row>
    <row r="117" spans="11:16">
      <c r="K117" s="95"/>
      <c r="L117" s="96"/>
      <c r="M117" s="96"/>
      <c r="N117" s="96"/>
      <c r="O117" s="96"/>
      <c r="P117" s="96"/>
    </row>
    <row r="118" spans="11:16">
      <c r="K118" s="95"/>
      <c r="L118" s="96"/>
      <c r="M118" s="96"/>
      <c r="N118" s="96"/>
      <c r="O118" s="96"/>
      <c r="P118" s="96"/>
    </row>
    <row r="119" spans="11:16">
      <c r="K119" s="95"/>
      <c r="L119" s="96"/>
      <c r="M119" s="96"/>
      <c r="N119" s="96"/>
      <c r="O119" s="96"/>
      <c r="P119" s="96"/>
    </row>
    <row r="120" spans="11:16">
      <c r="K120" s="95"/>
      <c r="L120" s="96"/>
      <c r="M120" s="96"/>
      <c r="N120" s="96"/>
      <c r="O120" s="96"/>
      <c r="P120" s="96"/>
    </row>
    <row r="121" spans="11:16">
      <c r="K121" s="95"/>
      <c r="L121" s="96"/>
      <c r="M121" s="96"/>
      <c r="N121" s="96"/>
      <c r="O121" s="96"/>
      <c r="P121" s="96"/>
    </row>
    <row r="122" spans="11:16">
      <c r="K122" s="95"/>
      <c r="L122" s="96"/>
      <c r="M122" s="96"/>
      <c r="N122" s="96"/>
      <c r="O122" s="96"/>
      <c r="P122" s="96"/>
    </row>
    <row r="123" spans="11:16">
      <c r="K123" s="95"/>
      <c r="L123" s="96"/>
      <c r="M123" s="96"/>
      <c r="N123" s="96"/>
      <c r="O123" s="96"/>
      <c r="P123" s="96"/>
    </row>
    <row r="124" spans="11:16">
      <c r="K124" s="95"/>
      <c r="L124" s="96"/>
      <c r="M124" s="96"/>
      <c r="N124" s="96"/>
      <c r="O124" s="96"/>
      <c r="P124" s="96"/>
    </row>
    <row r="125" spans="11:16">
      <c r="K125" s="95"/>
      <c r="L125" s="96"/>
      <c r="M125" s="96"/>
      <c r="N125" s="96"/>
      <c r="O125" s="96"/>
      <c r="P125" s="96"/>
    </row>
    <row r="126" spans="11:16">
      <c r="K126" s="95"/>
      <c r="L126" s="96"/>
      <c r="M126" s="96"/>
      <c r="N126" s="96"/>
      <c r="O126" s="96"/>
      <c r="P126" s="96"/>
    </row>
    <row r="127" spans="11:16">
      <c r="K127" s="95"/>
      <c r="L127" s="96"/>
      <c r="M127" s="96"/>
      <c r="N127" s="96"/>
      <c r="O127" s="96"/>
      <c r="P127" s="96"/>
    </row>
    <row r="128" spans="11:16">
      <c r="K128" s="95"/>
      <c r="L128" s="96"/>
      <c r="M128" s="96"/>
      <c r="N128" s="96"/>
      <c r="O128" s="96"/>
      <c r="P128" s="96"/>
    </row>
    <row r="129" spans="11:16">
      <c r="K129" s="95"/>
      <c r="L129" s="96"/>
      <c r="M129" s="96"/>
      <c r="N129" s="96"/>
      <c r="O129" s="96"/>
      <c r="P129" s="96"/>
    </row>
    <row r="130" spans="11:16">
      <c r="K130" s="95"/>
      <c r="L130" s="96"/>
      <c r="M130" s="96"/>
      <c r="N130" s="96"/>
      <c r="O130" s="96"/>
      <c r="P130" s="96"/>
    </row>
    <row r="131" spans="11:16">
      <c r="K131" s="95"/>
      <c r="L131" s="96"/>
      <c r="M131" s="96"/>
      <c r="N131" s="96"/>
      <c r="O131" s="96"/>
      <c r="P131" s="96"/>
    </row>
    <row r="132" spans="11:16">
      <c r="K132" s="95"/>
      <c r="L132" s="96"/>
      <c r="M132" s="96"/>
      <c r="N132" s="96"/>
      <c r="O132" s="96"/>
      <c r="P132" s="96"/>
    </row>
    <row r="133" spans="11:16">
      <c r="K133" s="95"/>
      <c r="L133" s="96"/>
      <c r="M133" s="96"/>
      <c r="N133" s="96"/>
      <c r="O133" s="96"/>
      <c r="P133" s="96"/>
    </row>
    <row r="134" spans="11:16">
      <c r="K134" s="95"/>
      <c r="L134" s="96"/>
      <c r="M134" s="96"/>
      <c r="N134" s="96"/>
      <c r="O134" s="96"/>
      <c r="P134" s="96"/>
    </row>
    <row r="135" spans="11:16">
      <c r="K135" s="95"/>
      <c r="L135" s="96"/>
      <c r="M135" s="96"/>
      <c r="N135" s="96"/>
      <c r="O135" s="96"/>
      <c r="P135" s="96"/>
    </row>
    <row r="136" spans="11:16">
      <c r="K136" s="95"/>
      <c r="L136" s="96"/>
      <c r="M136" s="96"/>
      <c r="N136" s="96"/>
      <c r="O136" s="96"/>
      <c r="P136" s="96"/>
    </row>
    <row r="137" spans="11:16">
      <c r="K137" s="95"/>
      <c r="L137" s="96"/>
      <c r="M137" s="96"/>
      <c r="N137" s="96"/>
      <c r="O137" s="96"/>
      <c r="P137" s="96"/>
    </row>
    <row r="138" spans="11:16">
      <c r="K138" s="95"/>
      <c r="L138" s="96"/>
      <c r="M138" s="96"/>
      <c r="N138" s="96"/>
      <c r="O138" s="96"/>
      <c r="P138" s="96"/>
    </row>
    <row r="139" spans="11:16">
      <c r="K139" s="95"/>
      <c r="L139" s="96"/>
      <c r="M139" s="96"/>
      <c r="N139" s="96"/>
      <c r="O139" s="96"/>
      <c r="P139" s="96"/>
    </row>
    <row r="140" spans="11:16">
      <c r="K140" s="95"/>
      <c r="L140" s="96"/>
      <c r="M140" s="96"/>
      <c r="N140" s="96"/>
      <c r="O140" s="96"/>
      <c r="P140" s="96"/>
    </row>
    <row r="141" spans="11:16">
      <c r="K141" s="95"/>
      <c r="L141" s="96"/>
      <c r="M141" s="96"/>
      <c r="N141" s="96"/>
      <c r="O141" s="96"/>
      <c r="P141" s="96"/>
    </row>
    <row r="142" spans="11:16">
      <c r="K142" s="95"/>
      <c r="L142" s="96"/>
      <c r="M142" s="96"/>
      <c r="N142" s="96"/>
      <c r="O142" s="96"/>
      <c r="P142" s="96"/>
    </row>
    <row r="143" spans="11:16">
      <c r="K143" s="95"/>
      <c r="L143" s="96"/>
      <c r="M143" s="96"/>
      <c r="N143" s="96"/>
      <c r="O143" s="96"/>
      <c r="P143" s="96"/>
    </row>
    <row r="144" spans="11:16">
      <c r="K144" s="95"/>
      <c r="L144" s="96"/>
      <c r="M144" s="96"/>
      <c r="N144" s="96"/>
      <c r="O144" s="96"/>
      <c r="P144" s="96"/>
    </row>
    <row r="145" spans="11:16">
      <c r="K145" s="95"/>
      <c r="L145" s="96"/>
      <c r="M145" s="96"/>
      <c r="N145" s="96"/>
      <c r="O145" s="96"/>
      <c r="P145" s="96"/>
    </row>
    <row r="146" spans="11:16">
      <c r="K146" s="95"/>
      <c r="L146" s="96"/>
      <c r="M146" s="96"/>
      <c r="N146" s="96"/>
      <c r="O146" s="96"/>
      <c r="P146" s="96"/>
    </row>
    <row r="147" spans="11:16">
      <c r="K147" s="95"/>
      <c r="L147" s="96"/>
      <c r="M147" s="96"/>
      <c r="N147" s="96"/>
      <c r="O147" s="96"/>
      <c r="P147" s="96"/>
    </row>
    <row r="148" spans="11:16">
      <c r="K148" s="95"/>
      <c r="L148" s="96"/>
      <c r="M148" s="96"/>
      <c r="N148" s="96"/>
      <c r="O148" s="96"/>
      <c r="P148" s="96"/>
    </row>
    <row r="149" spans="11:16">
      <c r="K149" s="95"/>
      <c r="L149" s="96"/>
      <c r="M149" s="96"/>
      <c r="N149" s="96"/>
      <c r="O149" s="96"/>
      <c r="P149" s="96"/>
    </row>
    <row r="150" spans="11:16">
      <c r="K150" s="95"/>
      <c r="L150" s="96"/>
      <c r="M150" s="96"/>
      <c r="N150" s="96"/>
      <c r="O150" s="96"/>
      <c r="P150" s="96"/>
    </row>
    <row r="151" spans="11:16">
      <c r="K151" s="95"/>
      <c r="L151" s="96"/>
      <c r="M151" s="96"/>
      <c r="N151" s="96"/>
      <c r="O151" s="96"/>
      <c r="P151" s="96"/>
    </row>
    <row r="152" spans="11:16">
      <c r="K152" s="95"/>
      <c r="L152" s="96"/>
      <c r="M152" s="96"/>
      <c r="N152" s="96"/>
      <c r="O152" s="96"/>
      <c r="P152" s="96"/>
    </row>
    <row r="153" spans="11:16">
      <c r="K153" s="95"/>
      <c r="L153" s="96"/>
      <c r="M153" s="96"/>
      <c r="N153" s="96"/>
      <c r="O153" s="96"/>
      <c r="P153" s="96"/>
    </row>
    <row r="154" spans="11:16">
      <c r="K154" s="95"/>
      <c r="L154" s="96"/>
      <c r="M154" s="96"/>
      <c r="N154" s="96"/>
      <c r="O154" s="96"/>
      <c r="P154" s="96"/>
    </row>
    <row r="155" spans="11:16">
      <c r="K155" s="95"/>
      <c r="L155" s="96"/>
      <c r="M155" s="96"/>
      <c r="N155" s="96"/>
      <c r="O155" s="96"/>
      <c r="P155" s="96"/>
    </row>
    <row r="156" spans="11:16">
      <c r="K156" s="95"/>
      <c r="L156" s="96"/>
      <c r="M156" s="96"/>
      <c r="N156" s="96"/>
      <c r="O156" s="96"/>
      <c r="P156" s="96"/>
    </row>
    <row r="157" spans="11:16">
      <c r="K157" s="95"/>
      <c r="L157" s="96"/>
      <c r="M157" s="96"/>
      <c r="N157" s="96"/>
      <c r="O157" s="96"/>
      <c r="P157" s="96"/>
    </row>
    <row r="158" spans="11:16">
      <c r="K158" s="95"/>
      <c r="L158" s="96"/>
      <c r="M158" s="96"/>
      <c r="N158" s="96"/>
      <c r="O158" s="96"/>
      <c r="P158" s="96"/>
    </row>
    <row r="159" spans="11:16">
      <c r="K159" s="95"/>
      <c r="L159" s="96"/>
      <c r="M159" s="96"/>
      <c r="N159" s="96"/>
      <c r="O159" s="96"/>
      <c r="P159" s="96"/>
    </row>
    <row r="160" spans="11:16">
      <c r="K160" s="95"/>
      <c r="L160" s="96"/>
      <c r="M160" s="96"/>
      <c r="N160" s="96"/>
      <c r="O160" s="96"/>
      <c r="P160" s="96"/>
    </row>
    <row r="161" spans="11:16">
      <c r="K161" s="95"/>
      <c r="L161" s="96"/>
      <c r="M161" s="96"/>
      <c r="N161" s="96"/>
      <c r="O161" s="96"/>
      <c r="P161" s="96"/>
    </row>
    <row r="162" spans="11:16">
      <c r="K162" s="95"/>
      <c r="L162" s="96"/>
      <c r="M162" s="96"/>
      <c r="N162" s="96"/>
      <c r="O162" s="96"/>
      <c r="P162" s="96"/>
    </row>
    <row r="163" spans="11:16">
      <c r="K163" s="95"/>
      <c r="L163" s="96"/>
      <c r="M163" s="96"/>
      <c r="N163" s="96"/>
      <c r="O163" s="96"/>
      <c r="P163" s="96"/>
    </row>
    <row r="164" spans="11:16">
      <c r="K164" s="95"/>
      <c r="L164" s="96"/>
      <c r="M164" s="96"/>
      <c r="N164" s="96"/>
      <c r="O164" s="96"/>
      <c r="P164" s="96"/>
    </row>
    <row r="165" spans="11:16">
      <c r="K165" s="95"/>
      <c r="L165" s="96"/>
      <c r="M165" s="96"/>
      <c r="N165" s="96"/>
      <c r="O165" s="96"/>
      <c r="P165" s="96"/>
    </row>
    <row r="166" spans="11:16">
      <c r="K166" s="95"/>
      <c r="L166" s="96"/>
      <c r="M166" s="96"/>
      <c r="N166" s="96"/>
      <c r="O166" s="96"/>
      <c r="P166" s="96"/>
    </row>
    <row r="167" spans="11:16">
      <c r="K167" s="95"/>
      <c r="L167" s="96"/>
      <c r="M167" s="96"/>
      <c r="N167" s="96"/>
      <c r="O167" s="96"/>
      <c r="P167" s="96"/>
    </row>
    <row r="168" spans="11:16">
      <c r="K168" s="95"/>
      <c r="L168" s="96"/>
      <c r="M168" s="96"/>
      <c r="N168" s="96"/>
      <c r="O168" s="96"/>
      <c r="P168" s="96"/>
    </row>
    <row r="169" spans="11:16">
      <c r="K169" s="95"/>
      <c r="L169" s="96"/>
      <c r="M169" s="96"/>
      <c r="N169" s="96"/>
      <c r="O169" s="96"/>
      <c r="P169" s="96"/>
    </row>
    <row r="170" spans="11:16">
      <c r="K170" s="95"/>
      <c r="L170" s="96"/>
      <c r="M170" s="96"/>
      <c r="N170" s="96"/>
      <c r="O170" s="96"/>
      <c r="P170" s="96"/>
    </row>
    <row r="171" spans="11:16">
      <c r="K171" s="95"/>
      <c r="L171" s="96"/>
      <c r="M171" s="96"/>
      <c r="N171" s="96"/>
      <c r="O171" s="96"/>
      <c r="P171" s="96"/>
    </row>
    <row r="172" spans="11:16">
      <c r="K172" s="95"/>
      <c r="L172" s="96"/>
      <c r="M172" s="96"/>
      <c r="N172" s="96"/>
      <c r="O172" s="96"/>
      <c r="P172" s="96"/>
    </row>
    <row r="173" spans="11:16">
      <c r="K173" s="95"/>
      <c r="L173" s="96"/>
      <c r="M173" s="96"/>
      <c r="N173" s="96"/>
      <c r="O173" s="96"/>
      <c r="P173" s="96"/>
    </row>
    <row r="174" spans="11:16">
      <c r="K174" s="95"/>
      <c r="L174" s="96"/>
      <c r="M174" s="96"/>
      <c r="N174" s="96"/>
      <c r="O174" s="96"/>
      <c r="P174" s="96"/>
    </row>
    <row r="175" spans="11:16">
      <c r="K175" s="95"/>
      <c r="L175" s="96"/>
      <c r="M175" s="96"/>
      <c r="N175" s="96"/>
      <c r="O175" s="96"/>
      <c r="P175" s="96"/>
    </row>
    <row r="176" spans="11:16">
      <c r="K176" s="95"/>
      <c r="L176" s="96"/>
      <c r="M176" s="96"/>
      <c r="N176" s="96"/>
      <c r="O176" s="96"/>
      <c r="P176" s="96"/>
    </row>
    <row r="177" spans="11:16">
      <c r="K177" s="95"/>
      <c r="L177" s="96"/>
      <c r="M177" s="96"/>
      <c r="N177" s="96"/>
      <c r="O177" s="96"/>
      <c r="P177" s="96"/>
    </row>
    <row r="178" spans="11:16">
      <c r="K178" s="95"/>
      <c r="L178" s="96"/>
      <c r="M178" s="96"/>
      <c r="N178" s="96"/>
      <c r="O178" s="96"/>
      <c r="P178" s="96"/>
    </row>
    <row r="179" spans="11:16">
      <c r="K179" s="95"/>
      <c r="L179" s="96"/>
      <c r="M179" s="96"/>
      <c r="N179" s="96"/>
      <c r="O179" s="96"/>
      <c r="P179" s="96"/>
    </row>
    <row r="180" spans="11:16">
      <c r="K180" s="95"/>
      <c r="L180" s="96"/>
      <c r="M180" s="96"/>
      <c r="N180" s="96"/>
      <c r="O180" s="96"/>
      <c r="P180" s="96"/>
    </row>
    <row r="181" spans="11:16">
      <c r="K181" s="95"/>
      <c r="L181" s="96"/>
      <c r="M181" s="96"/>
      <c r="N181" s="96"/>
      <c r="O181" s="96"/>
      <c r="P181" s="96"/>
    </row>
    <row r="182" spans="11:16">
      <c r="K182" s="95"/>
      <c r="L182" s="96"/>
      <c r="M182" s="96"/>
      <c r="N182" s="96"/>
      <c r="O182" s="96"/>
      <c r="P182" s="96"/>
    </row>
    <row r="183" spans="11:16">
      <c r="K183" s="95"/>
      <c r="L183" s="96"/>
      <c r="M183" s="96"/>
      <c r="N183" s="96"/>
      <c r="O183" s="96"/>
      <c r="P183" s="96"/>
    </row>
    <row r="184" spans="11:16">
      <c r="K184" s="95"/>
      <c r="L184" s="96"/>
      <c r="M184" s="96"/>
      <c r="N184" s="96"/>
      <c r="O184" s="96"/>
      <c r="P184" s="96"/>
    </row>
    <row r="185" spans="11:16">
      <c r="K185" s="95"/>
      <c r="L185" s="96"/>
      <c r="M185" s="96"/>
      <c r="N185" s="96"/>
      <c r="O185" s="96"/>
      <c r="P185" s="96"/>
    </row>
    <row r="186" spans="11:16">
      <c r="K186" s="95"/>
      <c r="L186" s="96"/>
      <c r="M186" s="96"/>
      <c r="N186" s="96"/>
      <c r="O186" s="96"/>
      <c r="P186" s="96"/>
    </row>
    <row r="187" spans="11:16">
      <c r="K187" s="95"/>
      <c r="L187" s="96"/>
      <c r="M187" s="96"/>
      <c r="N187" s="96"/>
      <c r="O187" s="96"/>
      <c r="P187" s="96"/>
    </row>
    <row r="188" spans="11:16">
      <c r="K188" s="95"/>
      <c r="L188" s="96"/>
      <c r="M188" s="96"/>
      <c r="N188" s="96"/>
      <c r="O188" s="96"/>
      <c r="P188" s="96"/>
    </row>
    <row r="189" spans="11:16">
      <c r="K189" s="95"/>
      <c r="L189" s="96"/>
      <c r="M189" s="96"/>
      <c r="N189" s="96"/>
      <c r="O189" s="96"/>
      <c r="P189" s="96"/>
    </row>
    <row r="190" spans="11:16">
      <c r="K190" s="95"/>
      <c r="L190" s="96"/>
      <c r="M190" s="96"/>
      <c r="N190" s="96"/>
      <c r="O190" s="96"/>
      <c r="P190" s="96"/>
    </row>
    <row r="191" spans="11:16">
      <c r="K191" s="95"/>
      <c r="L191" s="96"/>
      <c r="M191" s="96"/>
      <c r="N191" s="96"/>
      <c r="O191" s="96"/>
      <c r="P191" s="96"/>
    </row>
    <row r="192" spans="11:16">
      <c r="K192" s="95"/>
      <c r="L192" s="96"/>
      <c r="M192" s="96"/>
      <c r="N192" s="96"/>
      <c r="O192" s="96"/>
      <c r="P192" s="96"/>
    </row>
    <row r="193" spans="11:16">
      <c r="K193" s="95"/>
      <c r="L193" s="96"/>
      <c r="M193" s="96"/>
      <c r="N193" s="96"/>
      <c r="O193" s="96"/>
      <c r="P193" s="96"/>
    </row>
    <row r="194" spans="11:16">
      <c r="K194" s="95"/>
      <c r="L194" s="96"/>
      <c r="M194" s="96"/>
      <c r="N194" s="96"/>
      <c r="O194" s="96"/>
      <c r="P194" s="96"/>
    </row>
    <row r="195" spans="11:16">
      <c r="K195" s="95"/>
      <c r="L195" s="96"/>
      <c r="M195" s="96"/>
      <c r="N195" s="96"/>
      <c r="O195" s="96"/>
      <c r="P195" s="96"/>
    </row>
    <row r="196" spans="11:16">
      <c r="K196" s="95"/>
      <c r="L196" s="96"/>
      <c r="M196" s="96"/>
      <c r="N196" s="96"/>
      <c r="O196" s="96"/>
      <c r="P196" s="96"/>
    </row>
    <row r="197" spans="11:16">
      <c r="K197" s="95"/>
      <c r="L197" s="96"/>
      <c r="M197" s="96"/>
      <c r="N197" s="96"/>
      <c r="O197" s="96"/>
      <c r="P197" s="96"/>
    </row>
    <row r="198" spans="11:16">
      <c r="K198" s="95"/>
      <c r="L198" s="96"/>
      <c r="M198" s="96"/>
      <c r="N198" s="96"/>
      <c r="O198" s="96"/>
      <c r="P198" s="96"/>
    </row>
    <row r="199" spans="11:16">
      <c r="K199" s="95"/>
      <c r="L199" s="96"/>
      <c r="M199" s="96"/>
      <c r="N199" s="96"/>
      <c r="O199" s="96"/>
      <c r="P199" s="96"/>
    </row>
    <row r="200" spans="11:16">
      <c r="K200" s="95"/>
      <c r="L200" s="96"/>
      <c r="M200" s="96"/>
      <c r="N200" s="96"/>
      <c r="O200" s="96"/>
      <c r="P200" s="96"/>
    </row>
    <row r="201" spans="11:16">
      <c r="K201" s="95"/>
      <c r="L201" s="96"/>
      <c r="M201" s="96"/>
      <c r="N201" s="96"/>
      <c r="O201" s="96"/>
      <c r="P201" s="96"/>
    </row>
    <row r="202" spans="11:16">
      <c r="K202" s="95"/>
      <c r="L202" s="96"/>
      <c r="M202" s="96"/>
      <c r="N202" s="96"/>
      <c r="O202" s="96"/>
      <c r="P202" s="96"/>
    </row>
    <row r="203" spans="11:16">
      <c r="K203" s="95"/>
      <c r="L203" s="96"/>
      <c r="M203" s="96"/>
      <c r="N203" s="96"/>
      <c r="O203" s="96"/>
      <c r="P203" s="96"/>
    </row>
    <row r="204" spans="11:16">
      <c r="K204" s="95"/>
      <c r="L204" s="96"/>
      <c r="M204" s="96"/>
      <c r="N204" s="96"/>
      <c r="O204" s="96"/>
      <c r="P204" s="96"/>
    </row>
    <row r="205" spans="11:16">
      <c r="K205" s="95"/>
      <c r="L205" s="96"/>
      <c r="M205" s="96"/>
      <c r="N205" s="96"/>
      <c r="O205" s="96"/>
      <c r="P205" s="96"/>
    </row>
    <row r="206" spans="11:16">
      <c r="K206" s="95"/>
      <c r="L206" s="96"/>
      <c r="M206" s="96"/>
      <c r="N206" s="96"/>
      <c r="O206" s="96"/>
      <c r="P206" s="96"/>
    </row>
    <row r="207" spans="11:16">
      <c r="K207" s="95"/>
      <c r="L207" s="96"/>
      <c r="M207" s="96"/>
      <c r="N207" s="96"/>
      <c r="O207" s="96"/>
      <c r="P207" s="96"/>
    </row>
    <row r="208" spans="11:16">
      <c r="K208" s="95"/>
      <c r="L208" s="96"/>
      <c r="M208" s="96"/>
      <c r="N208" s="96"/>
      <c r="O208" s="96"/>
      <c r="P208" s="96"/>
    </row>
    <row r="209" spans="11:16">
      <c r="K209" s="95"/>
      <c r="L209" s="96"/>
      <c r="M209" s="96"/>
      <c r="N209" s="96"/>
      <c r="O209" s="96"/>
      <c r="P209" s="96"/>
    </row>
    <row r="210" spans="11:16">
      <c r="K210" s="95"/>
      <c r="L210" s="96"/>
      <c r="M210" s="96"/>
      <c r="N210" s="96"/>
      <c r="O210" s="96"/>
      <c r="P210" s="96"/>
    </row>
    <row r="211" spans="11:16">
      <c r="K211" s="95"/>
      <c r="L211" s="96"/>
      <c r="M211" s="96"/>
      <c r="N211" s="96"/>
      <c r="O211" s="96"/>
      <c r="P211" s="96"/>
    </row>
    <row r="212" spans="11:16">
      <c r="K212" s="95"/>
      <c r="L212" s="96"/>
      <c r="M212" s="96"/>
      <c r="N212" s="96"/>
      <c r="O212" s="96"/>
      <c r="P212" s="96"/>
    </row>
    <row r="213" spans="11:16">
      <c r="K213" s="95"/>
      <c r="L213" s="96"/>
      <c r="M213" s="96"/>
      <c r="N213" s="96"/>
      <c r="O213" s="96"/>
      <c r="P213" s="96"/>
    </row>
    <row r="214" spans="11:16">
      <c r="K214" s="95"/>
      <c r="L214" s="96"/>
      <c r="M214" s="96"/>
      <c r="N214" s="96"/>
      <c r="O214" s="96"/>
      <c r="P214" s="96"/>
    </row>
    <row r="215" spans="11:16">
      <c r="K215" s="95"/>
      <c r="L215" s="96"/>
      <c r="M215" s="96"/>
      <c r="N215" s="96"/>
      <c r="O215" s="96"/>
      <c r="P215" s="96"/>
    </row>
    <row r="216" spans="11:16">
      <c r="K216" s="95"/>
      <c r="L216" s="96"/>
      <c r="M216" s="96"/>
      <c r="N216" s="96"/>
      <c r="O216" s="96"/>
      <c r="P216" s="96"/>
    </row>
    <row r="217" spans="11:16">
      <c r="K217" s="95"/>
      <c r="L217" s="96"/>
      <c r="M217" s="96"/>
      <c r="N217" s="96"/>
      <c r="O217" s="96"/>
      <c r="P217" s="96"/>
    </row>
    <row r="218" spans="11:16">
      <c r="K218" s="95"/>
      <c r="L218" s="96"/>
      <c r="M218" s="96"/>
      <c r="N218" s="96"/>
      <c r="O218" s="96"/>
      <c r="P218" s="96"/>
    </row>
    <row r="219" spans="11:16">
      <c r="K219" s="95"/>
      <c r="L219" s="96"/>
      <c r="M219" s="96"/>
      <c r="N219" s="96"/>
      <c r="O219" s="96"/>
      <c r="P219" s="96"/>
    </row>
    <row r="220" spans="11:16">
      <c r="K220" s="95"/>
      <c r="L220" s="96"/>
      <c r="M220" s="96"/>
      <c r="N220" s="96"/>
      <c r="O220" s="96"/>
      <c r="P220" s="96"/>
    </row>
    <row r="221" spans="11:16">
      <c r="K221" s="95"/>
      <c r="L221" s="96"/>
      <c r="M221" s="96"/>
      <c r="N221" s="96"/>
      <c r="O221" s="96"/>
      <c r="P221" s="96"/>
    </row>
    <row r="222" spans="11:16">
      <c r="K222" s="95"/>
      <c r="L222" s="96"/>
      <c r="M222" s="96"/>
      <c r="N222" s="96"/>
      <c r="O222" s="96"/>
      <c r="P222" s="96"/>
    </row>
    <row r="223" spans="11:16">
      <c r="K223" s="95"/>
      <c r="L223" s="96"/>
      <c r="M223" s="96"/>
      <c r="N223" s="96"/>
      <c r="O223" s="96"/>
      <c r="P223" s="96"/>
    </row>
    <row r="224" spans="11:16">
      <c r="K224" s="95"/>
      <c r="L224" s="96"/>
      <c r="M224" s="96"/>
      <c r="N224" s="96"/>
      <c r="O224" s="96"/>
      <c r="P224" s="96"/>
    </row>
    <row r="225" spans="11:16">
      <c r="K225" s="95"/>
      <c r="L225" s="96"/>
      <c r="M225" s="96"/>
      <c r="N225" s="96"/>
      <c r="O225" s="96"/>
      <c r="P225" s="96"/>
    </row>
    <row r="226" spans="11:16">
      <c r="K226" s="95"/>
      <c r="L226" s="96"/>
      <c r="M226" s="96"/>
      <c r="N226" s="96"/>
      <c r="O226" s="96"/>
      <c r="P226" s="96"/>
    </row>
    <row r="227" spans="11:16">
      <c r="K227" s="95"/>
      <c r="L227" s="96"/>
      <c r="M227" s="96"/>
      <c r="N227" s="96"/>
      <c r="O227" s="96"/>
      <c r="P227" s="96"/>
    </row>
    <row r="228" spans="11:16">
      <c r="K228" s="95"/>
      <c r="L228" s="96"/>
      <c r="M228" s="96"/>
      <c r="N228" s="96"/>
      <c r="O228" s="96"/>
      <c r="P228" s="96"/>
    </row>
    <row r="229" spans="11:16">
      <c r="K229" s="95"/>
      <c r="L229" s="96"/>
      <c r="M229" s="96"/>
      <c r="N229" s="96"/>
      <c r="O229" s="96"/>
      <c r="P229" s="96"/>
    </row>
    <row r="230" spans="11:16">
      <c r="K230" s="95"/>
      <c r="L230" s="96"/>
      <c r="M230" s="96"/>
      <c r="N230" s="96"/>
      <c r="O230" s="96"/>
      <c r="P230" s="96"/>
    </row>
    <row r="231" spans="11:16">
      <c r="K231" s="95"/>
      <c r="L231" s="96"/>
      <c r="M231" s="96"/>
      <c r="N231" s="96"/>
      <c r="O231" s="96"/>
      <c r="P231" s="96"/>
    </row>
    <row r="232" spans="11:16">
      <c r="K232" s="95"/>
      <c r="L232" s="96"/>
      <c r="M232" s="96"/>
      <c r="N232" s="96"/>
      <c r="O232" s="96"/>
      <c r="P232" s="96"/>
    </row>
    <row r="233" spans="11:16">
      <c r="K233" s="95"/>
      <c r="L233" s="96"/>
      <c r="M233" s="96"/>
      <c r="N233" s="96"/>
      <c r="O233" s="96"/>
      <c r="P233" s="96"/>
    </row>
    <row r="234" spans="11:16">
      <c r="K234" s="95"/>
      <c r="L234" s="96"/>
      <c r="M234" s="96"/>
      <c r="N234" s="96"/>
      <c r="O234" s="96"/>
      <c r="P234" s="96"/>
    </row>
    <row r="235" spans="11:16">
      <c r="K235" s="95"/>
      <c r="L235" s="96"/>
      <c r="M235" s="96"/>
      <c r="N235" s="96"/>
      <c r="O235" s="96"/>
      <c r="P235" s="96"/>
    </row>
    <row r="236" spans="11:16">
      <c r="K236" s="95"/>
      <c r="L236" s="96"/>
      <c r="M236" s="96"/>
      <c r="N236" s="96"/>
      <c r="O236" s="96"/>
      <c r="P236" s="96"/>
    </row>
    <row r="237" spans="11:16">
      <c r="K237" s="95"/>
      <c r="L237" s="96"/>
      <c r="M237" s="96"/>
      <c r="N237" s="96"/>
      <c r="O237" s="96"/>
      <c r="P237" s="96"/>
    </row>
    <row r="238" spans="11:16">
      <c r="K238" s="95"/>
      <c r="L238" s="96"/>
      <c r="M238" s="96"/>
      <c r="N238" s="96"/>
      <c r="O238" s="96"/>
      <c r="P238" s="96"/>
    </row>
    <row r="239" spans="11:16">
      <c r="K239" s="95"/>
      <c r="L239" s="96"/>
      <c r="M239" s="96"/>
      <c r="N239" s="96"/>
      <c r="O239" s="96"/>
      <c r="P239" s="96"/>
    </row>
    <row r="240" spans="11:16">
      <c r="K240" s="95"/>
      <c r="L240" s="96"/>
      <c r="M240" s="96"/>
      <c r="N240" s="96"/>
      <c r="O240" s="96"/>
      <c r="P240" s="96"/>
    </row>
    <row r="241" spans="11:16">
      <c r="K241" s="95"/>
      <c r="L241" s="96"/>
      <c r="M241" s="96"/>
      <c r="N241" s="96"/>
      <c r="O241" s="96"/>
      <c r="P241" s="96"/>
    </row>
    <row r="242" spans="11:16">
      <c r="K242" s="95"/>
      <c r="L242" s="96"/>
      <c r="M242" s="96"/>
      <c r="N242" s="96"/>
      <c r="O242" s="96"/>
      <c r="P242" s="96"/>
    </row>
    <row r="243" spans="11:16">
      <c r="K243" s="95"/>
      <c r="L243" s="96"/>
      <c r="M243" s="96"/>
      <c r="N243" s="96"/>
      <c r="O243" s="96"/>
      <c r="P243" s="96"/>
    </row>
    <row r="244" spans="11:16">
      <c r="K244" s="95"/>
      <c r="L244" s="96"/>
      <c r="M244" s="96"/>
      <c r="N244" s="96"/>
      <c r="O244" s="96"/>
      <c r="P244" s="96"/>
    </row>
    <row r="245" spans="11:16">
      <c r="K245" s="95"/>
      <c r="L245" s="96"/>
      <c r="M245" s="96"/>
      <c r="N245" s="96"/>
      <c r="O245" s="96"/>
      <c r="P245" s="96"/>
    </row>
    <row r="246" spans="11:16">
      <c r="K246" s="95"/>
      <c r="L246" s="96"/>
      <c r="M246" s="96"/>
      <c r="N246" s="96"/>
      <c r="O246" s="96"/>
      <c r="P246" s="96"/>
    </row>
    <row r="247" spans="11:16">
      <c r="K247" s="95"/>
      <c r="L247" s="96"/>
      <c r="M247" s="96"/>
      <c r="N247" s="96"/>
      <c r="O247" s="96"/>
      <c r="P247" s="96"/>
    </row>
    <row r="248" spans="11:16">
      <c r="K248" s="95"/>
      <c r="L248" s="96"/>
      <c r="M248" s="96"/>
      <c r="N248" s="96"/>
      <c r="O248" s="96"/>
      <c r="P248" s="96"/>
    </row>
    <row r="249" spans="11:16">
      <c r="K249" s="95"/>
      <c r="L249" s="96"/>
      <c r="M249" s="96"/>
      <c r="N249" s="96"/>
      <c r="O249" s="96"/>
      <c r="P249" s="96"/>
    </row>
    <row r="250" spans="11:16">
      <c r="K250" s="95"/>
      <c r="L250" s="96"/>
      <c r="M250" s="96"/>
      <c r="N250" s="96"/>
      <c r="O250" s="96"/>
      <c r="P250" s="96"/>
    </row>
    <row r="251" spans="11:16">
      <c r="K251" s="95"/>
      <c r="L251" s="96"/>
      <c r="M251" s="96"/>
      <c r="N251" s="96"/>
      <c r="O251" s="96"/>
      <c r="P251" s="96"/>
    </row>
    <row r="252" spans="11:16">
      <c r="K252" s="95"/>
      <c r="L252" s="96"/>
      <c r="M252" s="96"/>
      <c r="N252" s="96"/>
      <c r="O252" s="96"/>
      <c r="P252" s="96"/>
    </row>
    <row r="253" spans="11:16">
      <c r="K253" s="95"/>
      <c r="L253" s="96"/>
      <c r="M253" s="96"/>
      <c r="N253" s="96"/>
      <c r="O253" s="96"/>
      <c r="P253" s="96"/>
    </row>
    <row r="254" spans="11:16">
      <c r="K254" s="95"/>
      <c r="L254" s="96"/>
      <c r="M254" s="96"/>
      <c r="N254" s="96"/>
      <c r="O254" s="96"/>
      <c r="P254" s="96"/>
    </row>
    <row r="255" spans="11:16">
      <c r="K255" s="95"/>
      <c r="L255" s="96"/>
      <c r="M255" s="96"/>
      <c r="N255" s="96"/>
      <c r="O255" s="96"/>
      <c r="P255" s="96"/>
    </row>
    <row r="256" spans="11:16">
      <c r="K256" s="95"/>
      <c r="L256" s="96"/>
      <c r="M256" s="96"/>
      <c r="N256" s="96"/>
      <c r="O256" s="96"/>
      <c r="P256" s="96"/>
    </row>
    <row r="257" spans="11:16">
      <c r="K257" s="95"/>
      <c r="L257" s="96"/>
      <c r="M257" s="96"/>
      <c r="N257" s="96"/>
      <c r="O257" s="96"/>
      <c r="P257" s="96"/>
    </row>
    <row r="258" spans="11:16">
      <c r="K258" s="95"/>
      <c r="L258" s="96"/>
      <c r="M258" s="96"/>
      <c r="N258" s="96"/>
      <c r="O258" s="96"/>
      <c r="P258" s="96"/>
    </row>
    <row r="259" spans="11:16">
      <c r="K259" s="95"/>
      <c r="L259" s="96"/>
      <c r="M259" s="96"/>
      <c r="N259" s="96"/>
      <c r="O259" s="96"/>
      <c r="P259" s="96"/>
    </row>
    <row r="260" spans="11:16">
      <c r="K260" s="95"/>
      <c r="L260" s="96"/>
      <c r="M260" s="96"/>
      <c r="N260" s="96"/>
      <c r="O260" s="96"/>
      <c r="P260" s="96"/>
    </row>
    <row r="261" spans="11:16">
      <c r="K261" s="95"/>
      <c r="L261" s="96"/>
      <c r="M261" s="96"/>
      <c r="N261" s="96"/>
      <c r="O261" s="96"/>
      <c r="P261" s="96"/>
    </row>
    <row r="262" spans="11:16">
      <c r="K262" s="95"/>
      <c r="L262" s="96"/>
      <c r="M262" s="96"/>
      <c r="N262" s="96"/>
      <c r="O262" s="96"/>
      <c r="P262" s="96"/>
    </row>
    <row r="263" spans="11:16">
      <c r="K263" s="95"/>
      <c r="L263" s="96"/>
      <c r="M263" s="96"/>
      <c r="N263" s="96"/>
      <c r="O263" s="96"/>
      <c r="P263" s="96"/>
    </row>
    <row r="264" spans="11:16">
      <c r="K264" s="95"/>
      <c r="L264" s="96"/>
      <c r="M264" s="96"/>
      <c r="N264" s="96"/>
      <c r="O264" s="96"/>
      <c r="P264" s="96"/>
    </row>
    <row r="265" spans="11:16">
      <c r="K265" s="95"/>
      <c r="L265" s="96"/>
      <c r="M265" s="96"/>
      <c r="N265" s="96"/>
      <c r="O265" s="96"/>
      <c r="P265" s="96"/>
    </row>
    <row r="266" spans="11:16">
      <c r="K266" s="95"/>
      <c r="L266" s="96"/>
      <c r="M266" s="96"/>
      <c r="N266" s="96"/>
      <c r="O266" s="96"/>
      <c r="P266" s="96"/>
    </row>
    <row r="267" spans="11:16">
      <c r="K267" s="95"/>
      <c r="L267" s="96"/>
      <c r="M267" s="96"/>
      <c r="N267" s="96"/>
      <c r="O267" s="96"/>
      <c r="P267" s="96"/>
    </row>
    <row r="268" spans="11:16">
      <c r="K268" s="95"/>
      <c r="L268" s="96"/>
      <c r="M268" s="96"/>
      <c r="N268" s="96"/>
      <c r="O268" s="96"/>
      <c r="P268" s="96"/>
    </row>
    <row r="269" spans="11:16">
      <c r="K269" s="95"/>
      <c r="L269" s="96"/>
      <c r="M269" s="96"/>
      <c r="N269" s="96"/>
      <c r="O269" s="96"/>
      <c r="P269" s="96"/>
    </row>
    <row r="270" spans="11:16">
      <c r="K270" s="95"/>
      <c r="L270" s="96"/>
      <c r="M270" s="96"/>
      <c r="N270" s="96"/>
      <c r="O270" s="96"/>
      <c r="P270" s="96"/>
    </row>
    <row r="271" spans="11:16">
      <c r="K271" s="95"/>
      <c r="L271" s="96"/>
      <c r="M271" s="96"/>
      <c r="N271" s="96"/>
      <c r="O271" s="96"/>
      <c r="P271" s="96"/>
    </row>
    <row r="272" spans="11:16">
      <c r="K272" s="95"/>
      <c r="L272" s="96"/>
      <c r="M272" s="96"/>
      <c r="N272" s="96"/>
      <c r="O272" s="96"/>
      <c r="P272" s="96"/>
    </row>
    <row r="273" spans="11:16">
      <c r="K273" s="95"/>
      <c r="L273" s="96"/>
      <c r="M273" s="96"/>
      <c r="N273" s="96"/>
      <c r="O273" s="96"/>
      <c r="P273" s="96"/>
    </row>
    <row r="274" spans="11:16">
      <c r="K274" s="95"/>
      <c r="L274" s="96"/>
      <c r="M274" s="96"/>
      <c r="N274" s="96"/>
      <c r="O274" s="96"/>
      <c r="P274" s="96"/>
    </row>
    <row r="275" spans="11:16">
      <c r="K275" s="95"/>
      <c r="L275" s="96"/>
      <c r="M275" s="96"/>
      <c r="N275" s="96"/>
      <c r="O275" s="96"/>
      <c r="P275" s="96"/>
    </row>
    <row r="276" spans="11:16">
      <c r="K276" s="95"/>
      <c r="L276" s="96"/>
      <c r="M276" s="96"/>
      <c r="N276" s="96"/>
      <c r="O276" s="96"/>
      <c r="P276" s="96"/>
    </row>
    <row r="277" spans="11:16">
      <c r="K277" s="95"/>
      <c r="L277" s="96"/>
      <c r="M277" s="96"/>
      <c r="N277" s="96"/>
      <c r="O277" s="96"/>
      <c r="P277" s="96"/>
    </row>
    <row r="278" spans="11:16">
      <c r="K278" s="95"/>
      <c r="L278" s="96"/>
      <c r="M278" s="96"/>
      <c r="N278" s="96"/>
      <c r="O278" s="96"/>
      <c r="P278" s="96"/>
    </row>
    <row r="279" spans="11:16">
      <c r="K279" s="95"/>
      <c r="L279" s="96"/>
      <c r="M279" s="96"/>
      <c r="N279" s="96"/>
      <c r="O279" s="96"/>
      <c r="P279" s="96"/>
    </row>
    <row r="280" spans="11:16">
      <c r="K280" s="95"/>
      <c r="L280" s="96"/>
      <c r="M280" s="96"/>
      <c r="N280" s="96"/>
      <c r="O280" s="96"/>
      <c r="P280" s="96"/>
    </row>
    <row r="281" spans="11:16">
      <c r="K281" s="95"/>
      <c r="L281" s="96"/>
      <c r="M281" s="96"/>
      <c r="N281" s="96"/>
      <c r="O281" s="96"/>
      <c r="P281" s="96"/>
    </row>
    <row r="282" spans="11:16">
      <c r="K282" s="95"/>
      <c r="L282" s="96"/>
      <c r="M282" s="96"/>
      <c r="N282" s="96"/>
      <c r="O282" s="96"/>
      <c r="P282" s="96"/>
    </row>
    <row r="283" spans="11:16">
      <c r="K283" s="95"/>
      <c r="L283" s="96"/>
      <c r="M283" s="96"/>
      <c r="N283" s="96"/>
      <c r="O283" s="96"/>
      <c r="P283" s="96"/>
    </row>
    <row r="284" spans="11:16">
      <c r="K284" s="95"/>
      <c r="L284" s="96"/>
      <c r="M284" s="96"/>
      <c r="N284" s="96"/>
      <c r="O284" s="96"/>
      <c r="P284" s="96"/>
    </row>
    <row r="285" spans="11:16">
      <c r="K285" s="95"/>
      <c r="L285" s="96"/>
      <c r="M285" s="96"/>
      <c r="N285" s="96"/>
      <c r="O285" s="96"/>
      <c r="P285" s="96"/>
    </row>
    <row r="286" spans="11:16">
      <c r="K286" s="95"/>
      <c r="L286" s="96"/>
      <c r="M286" s="96"/>
      <c r="N286" s="96"/>
      <c r="O286" s="96"/>
      <c r="P286" s="96"/>
    </row>
    <row r="287" spans="11:16">
      <c r="K287" s="95"/>
      <c r="L287" s="96"/>
      <c r="M287" s="96"/>
      <c r="N287" s="96"/>
      <c r="O287" s="96"/>
      <c r="P287" s="96"/>
    </row>
    <row r="288" spans="11:16">
      <c r="K288" s="95"/>
      <c r="L288" s="96"/>
      <c r="M288" s="96"/>
      <c r="N288" s="96"/>
      <c r="O288" s="96"/>
      <c r="P288" s="96"/>
    </row>
    <row r="289" spans="11:16">
      <c r="K289" s="95"/>
      <c r="L289" s="96"/>
      <c r="M289" s="96"/>
      <c r="N289" s="96"/>
      <c r="O289" s="96"/>
      <c r="P289" s="96"/>
    </row>
    <row r="290" spans="11:16">
      <c r="K290" s="95"/>
      <c r="L290" s="96"/>
      <c r="M290" s="96"/>
      <c r="N290" s="96"/>
      <c r="O290" s="96"/>
      <c r="P290" s="96"/>
    </row>
    <row r="291" spans="11:16">
      <c r="K291" s="95"/>
      <c r="L291" s="96"/>
      <c r="M291" s="96"/>
      <c r="N291" s="96"/>
      <c r="O291" s="96"/>
      <c r="P291" s="96"/>
    </row>
    <row r="292" spans="11:16">
      <c r="K292" s="95"/>
      <c r="L292" s="96"/>
      <c r="M292" s="96"/>
      <c r="N292" s="96"/>
      <c r="O292" s="96"/>
      <c r="P292" s="96"/>
    </row>
    <row r="293" spans="11:16">
      <c r="K293" s="95"/>
      <c r="L293" s="96"/>
      <c r="M293" s="96"/>
      <c r="N293" s="96"/>
      <c r="O293" s="96"/>
      <c r="P293" s="96"/>
    </row>
    <row r="294" spans="11:16">
      <c r="K294" s="95"/>
      <c r="L294" s="96"/>
      <c r="M294" s="96"/>
      <c r="N294" s="96"/>
      <c r="O294" s="96"/>
      <c r="P294" s="96"/>
    </row>
    <row r="295" spans="11:16">
      <c r="K295" s="95"/>
      <c r="L295" s="96"/>
      <c r="M295" s="96"/>
      <c r="N295" s="96"/>
      <c r="O295" s="96"/>
      <c r="P295" s="96"/>
    </row>
    <row r="296" spans="11:16">
      <c r="K296" s="95"/>
      <c r="L296" s="96"/>
      <c r="M296" s="96"/>
      <c r="N296" s="96"/>
      <c r="O296" s="96"/>
      <c r="P296" s="96"/>
    </row>
    <row r="297" spans="11:16">
      <c r="K297" s="95"/>
      <c r="L297" s="96"/>
      <c r="M297" s="96"/>
      <c r="N297" s="96"/>
      <c r="O297" s="96"/>
      <c r="P297" s="96"/>
    </row>
    <row r="298" spans="11:16">
      <c r="K298" s="95"/>
      <c r="L298" s="96"/>
      <c r="M298" s="96"/>
      <c r="N298" s="96"/>
      <c r="O298" s="96"/>
      <c r="P298" s="96"/>
    </row>
    <row r="299" spans="11:16">
      <c r="K299" s="95"/>
      <c r="L299" s="96"/>
      <c r="M299" s="96"/>
      <c r="N299" s="96"/>
      <c r="O299" s="96"/>
      <c r="P299" s="96"/>
    </row>
    <row r="300" spans="11:16">
      <c r="K300" s="95"/>
      <c r="L300" s="96"/>
      <c r="M300" s="96"/>
      <c r="N300" s="96"/>
      <c r="O300" s="96"/>
      <c r="P300" s="96"/>
    </row>
    <row r="301" spans="11:16">
      <c r="K301" s="95"/>
      <c r="L301" s="96"/>
      <c r="M301" s="96"/>
      <c r="N301" s="96"/>
      <c r="O301" s="96"/>
      <c r="P301" s="96"/>
    </row>
    <row r="302" spans="11:16">
      <c r="K302" s="95"/>
      <c r="L302" s="96"/>
      <c r="M302" s="96"/>
      <c r="N302" s="96"/>
      <c r="O302" s="96"/>
      <c r="P302" s="96"/>
    </row>
    <row r="303" spans="11:16">
      <c r="K303" s="95"/>
      <c r="L303" s="96"/>
      <c r="M303" s="96"/>
      <c r="N303" s="96"/>
      <c r="O303" s="96"/>
      <c r="P303" s="96"/>
    </row>
    <row r="304" spans="11:16">
      <c r="K304" s="95"/>
      <c r="L304" s="96"/>
      <c r="M304" s="96"/>
      <c r="N304" s="96"/>
      <c r="O304" s="96"/>
      <c r="P304" s="96"/>
    </row>
    <row r="305" spans="11:16">
      <c r="K305" s="95"/>
      <c r="L305" s="96"/>
      <c r="M305" s="96"/>
      <c r="N305" s="96"/>
      <c r="O305" s="96"/>
      <c r="P305" s="96"/>
    </row>
    <row r="306" spans="11:16">
      <c r="K306" s="95"/>
      <c r="L306" s="96"/>
      <c r="M306" s="96"/>
      <c r="N306" s="96"/>
      <c r="O306" s="96"/>
      <c r="P306" s="96"/>
    </row>
    <row r="307" spans="11:16">
      <c r="K307" s="95"/>
      <c r="L307" s="96"/>
      <c r="M307" s="96"/>
      <c r="N307" s="96"/>
      <c r="O307" s="96"/>
      <c r="P307" s="96"/>
    </row>
    <row r="308" spans="11:16">
      <c r="K308" s="95"/>
      <c r="L308" s="96"/>
      <c r="M308" s="96"/>
      <c r="N308" s="96"/>
      <c r="O308" s="96"/>
      <c r="P308" s="96"/>
    </row>
    <row r="309" spans="11:16">
      <c r="K309" s="95"/>
      <c r="L309" s="96"/>
      <c r="M309" s="96"/>
      <c r="N309" s="96"/>
      <c r="O309" s="96"/>
      <c r="P309" s="96"/>
    </row>
    <row r="310" spans="11:16">
      <c r="K310" s="95"/>
      <c r="L310" s="96"/>
      <c r="M310" s="96"/>
      <c r="N310" s="96"/>
      <c r="O310" s="96"/>
      <c r="P310" s="96"/>
    </row>
    <row r="311" spans="11:16">
      <c r="K311" s="95"/>
      <c r="L311" s="96"/>
      <c r="M311" s="96"/>
      <c r="N311" s="96"/>
      <c r="O311" s="96"/>
      <c r="P311" s="96"/>
    </row>
    <row r="312" spans="11:16">
      <c r="K312" s="95"/>
      <c r="L312" s="96"/>
      <c r="M312" s="96"/>
      <c r="N312" s="96"/>
      <c r="O312" s="96"/>
      <c r="P312" s="96"/>
    </row>
    <row r="313" spans="11:16">
      <c r="K313" s="95"/>
      <c r="L313" s="96"/>
      <c r="M313" s="96"/>
      <c r="N313" s="96"/>
      <c r="O313" s="96"/>
      <c r="P313" s="96"/>
    </row>
    <row r="314" spans="11:16">
      <c r="K314" s="95"/>
      <c r="L314" s="96"/>
      <c r="M314" s="96"/>
      <c r="N314" s="96"/>
      <c r="O314" s="96"/>
      <c r="P314" s="96"/>
    </row>
    <row r="315" spans="11:16">
      <c r="K315" s="95"/>
      <c r="L315" s="96"/>
      <c r="M315" s="96"/>
      <c r="N315" s="96"/>
      <c r="O315" s="96"/>
      <c r="P315" s="96"/>
    </row>
    <row r="316" spans="11:16">
      <c r="K316" s="95"/>
      <c r="L316" s="96"/>
      <c r="M316" s="96"/>
      <c r="N316" s="96"/>
      <c r="O316" s="96"/>
      <c r="P316" s="96"/>
    </row>
    <row r="317" spans="11:16">
      <c r="K317" s="95"/>
      <c r="L317" s="96"/>
      <c r="M317" s="96"/>
      <c r="N317" s="96"/>
      <c r="O317" s="96"/>
      <c r="P317" s="96"/>
    </row>
    <row r="318" spans="11:16">
      <c r="K318" s="95"/>
      <c r="L318" s="96"/>
      <c r="M318" s="96"/>
      <c r="N318" s="96"/>
      <c r="O318" s="96"/>
      <c r="P318" s="96"/>
    </row>
    <row r="319" spans="11:16">
      <c r="K319" s="95"/>
      <c r="L319" s="96"/>
      <c r="M319" s="96"/>
      <c r="N319" s="96"/>
      <c r="O319" s="96"/>
      <c r="P319" s="96"/>
    </row>
    <row r="320" spans="11:16">
      <c r="K320" s="95"/>
      <c r="L320" s="96"/>
      <c r="M320" s="96"/>
      <c r="N320" s="96"/>
      <c r="O320" s="96"/>
      <c r="P320" s="96"/>
    </row>
    <row r="321" spans="11:16">
      <c r="K321" s="95"/>
      <c r="L321" s="96"/>
      <c r="M321" s="96"/>
      <c r="N321" s="96"/>
      <c r="O321" s="96"/>
      <c r="P321" s="96"/>
    </row>
    <row r="322" spans="11:16">
      <c r="K322" s="95"/>
      <c r="L322" s="96"/>
      <c r="M322" s="96"/>
      <c r="N322" s="96"/>
      <c r="O322" s="96"/>
      <c r="P322" s="96"/>
    </row>
    <row r="323" spans="11:16">
      <c r="K323" s="95"/>
      <c r="L323" s="96"/>
      <c r="M323" s="96"/>
      <c r="N323" s="96"/>
      <c r="O323" s="96"/>
      <c r="P323" s="96"/>
    </row>
    <row r="324" spans="11:16">
      <c r="K324" s="95"/>
      <c r="L324" s="96"/>
      <c r="M324" s="96"/>
      <c r="N324" s="96"/>
      <c r="O324" s="96"/>
      <c r="P324" s="96"/>
    </row>
    <row r="325" spans="11:16">
      <c r="K325" s="95"/>
      <c r="L325" s="96"/>
      <c r="M325" s="96"/>
      <c r="N325" s="96"/>
      <c r="O325" s="96"/>
      <c r="P325" s="96"/>
    </row>
    <row r="326" spans="11:16">
      <c r="K326" s="95"/>
      <c r="L326" s="96"/>
      <c r="M326" s="96"/>
      <c r="N326" s="96"/>
      <c r="O326" s="96"/>
      <c r="P326" s="96"/>
    </row>
    <row r="327" spans="11:16">
      <c r="K327" s="95"/>
      <c r="L327" s="96"/>
      <c r="M327" s="96"/>
      <c r="N327" s="96"/>
      <c r="O327" s="96"/>
      <c r="P327" s="96"/>
    </row>
    <row r="328" spans="11:16">
      <c r="K328" s="95"/>
      <c r="L328" s="96"/>
      <c r="M328" s="96"/>
      <c r="N328" s="96"/>
      <c r="O328" s="96"/>
      <c r="P328" s="96"/>
    </row>
    <row r="329" spans="11:16">
      <c r="K329" s="95"/>
      <c r="L329" s="96"/>
      <c r="M329" s="96"/>
      <c r="N329" s="96"/>
      <c r="O329" s="96"/>
      <c r="P329" s="96"/>
    </row>
    <row r="330" spans="11:16">
      <c r="K330" s="95"/>
      <c r="L330" s="96"/>
      <c r="M330" s="96"/>
      <c r="N330" s="96"/>
      <c r="O330" s="96"/>
      <c r="P330" s="96"/>
    </row>
    <row r="331" spans="11:16">
      <c r="K331" s="95"/>
      <c r="L331" s="96"/>
      <c r="M331" s="96"/>
      <c r="N331" s="96"/>
      <c r="O331" s="96"/>
      <c r="P331" s="96"/>
    </row>
    <row r="332" spans="11:16">
      <c r="K332" s="95"/>
      <c r="L332" s="96"/>
      <c r="M332" s="96"/>
      <c r="N332" s="96"/>
      <c r="O332" s="96"/>
      <c r="P332" s="96"/>
    </row>
    <row r="333" spans="11:16">
      <c r="K333" s="95"/>
      <c r="L333" s="96"/>
      <c r="M333" s="96"/>
      <c r="N333" s="96"/>
      <c r="O333" s="96"/>
      <c r="P333" s="96"/>
    </row>
    <row r="334" spans="11:16">
      <c r="K334" s="95"/>
      <c r="L334" s="96"/>
      <c r="M334" s="96"/>
      <c r="N334" s="96"/>
      <c r="O334" s="96"/>
      <c r="P334" s="96"/>
    </row>
    <row r="335" spans="11:16">
      <c r="K335" s="95"/>
      <c r="L335" s="96"/>
      <c r="M335" s="96"/>
      <c r="N335" s="96"/>
      <c r="O335" s="96"/>
      <c r="P335" s="96"/>
    </row>
    <row r="336" spans="11:16">
      <c r="K336" s="95"/>
      <c r="L336" s="96"/>
      <c r="M336" s="96"/>
      <c r="N336" s="96"/>
      <c r="O336" s="96"/>
      <c r="P336" s="96"/>
    </row>
    <row r="337" spans="11:16">
      <c r="K337" s="95"/>
      <c r="L337" s="96"/>
      <c r="M337" s="96"/>
      <c r="N337" s="96"/>
      <c r="O337" s="96"/>
      <c r="P337" s="96"/>
    </row>
    <row r="338" spans="11:16">
      <c r="K338" s="95"/>
      <c r="L338" s="96"/>
      <c r="M338" s="96"/>
      <c r="N338" s="96"/>
      <c r="O338" s="96"/>
      <c r="P338" s="96"/>
    </row>
    <row r="339" spans="11:16">
      <c r="K339" s="95"/>
      <c r="L339" s="96"/>
      <c r="M339" s="96"/>
      <c r="N339" s="96"/>
      <c r="O339" s="96"/>
      <c r="P339" s="96"/>
    </row>
    <row r="340" spans="11:16">
      <c r="K340" s="95"/>
      <c r="L340" s="96"/>
      <c r="M340" s="96"/>
      <c r="N340" s="96"/>
      <c r="O340" s="96"/>
      <c r="P340" s="96"/>
    </row>
    <row r="341" spans="11:16">
      <c r="K341" s="95"/>
      <c r="L341" s="96"/>
      <c r="M341" s="96"/>
      <c r="N341" s="96"/>
      <c r="O341" s="96"/>
      <c r="P341" s="96"/>
    </row>
    <row r="342" spans="11:16">
      <c r="K342" s="95"/>
      <c r="L342" s="96"/>
      <c r="M342" s="96"/>
      <c r="N342" s="96"/>
      <c r="O342" s="96"/>
      <c r="P342" s="96"/>
    </row>
    <row r="343" spans="11:16">
      <c r="K343" s="95"/>
      <c r="L343" s="96"/>
      <c r="M343" s="96"/>
      <c r="N343" s="96"/>
      <c r="O343" s="96"/>
      <c r="P343" s="96"/>
    </row>
    <row r="344" spans="11:16">
      <c r="K344" s="95"/>
      <c r="L344" s="96"/>
      <c r="M344" s="96"/>
      <c r="N344" s="96"/>
      <c r="O344" s="96"/>
      <c r="P344" s="96"/>
    </row>
    <row r="345" spans="11:16">
      <c r="K345" s="95"/>
      <c r="L345" s="96"/>
      <c r="M345" s="96"/>
      <c r="N345" s="96"/>
      <c r="O345" s="96"/>
      <c r="P345" s="96"/>
    </row>
    <row r="346" spans="11:16">
      <c r="K346" s="95"/>
      <c r="L346" s="96"/>
      <c r="M346" s="96"/>
      <c r="N346" s="96"/>
      <c r="O346" s="96"/>
      <c r="P346" s="96"/>
    </row>
    <row r="347" spans="11:16">
      <c r="K347" s="95"/>
      <c r="L347" s="96"/>
      <c r="M347" s="96"/>
      <c r="N347" s="96"/>
      <c r="O347" s="96"/>
      <c r="P347" s="96"/>
    </row>
    <row r="348" spans="11:16">
      <c r="K348" s="95"/>
      <c r="L348" s="96"/>
      <c r="M348" s="96"/>
      <c r="N348" s="96"/>
      <c r="O348" s="96"/>
      <c r="P348" s="96"/>
    </row>
    <row r="349" spans="11:16">
      <c r="K349" s="95"/>
      <c r="L349" s="96"/>
      <c r="M349" s="96"/>
      <c r="N349" s="96"/>
      <c r="O349" s="96"/>
      <c r="P349" s="96"/>
    </row>
    <row r="350" spans="11:16">
      <c r="K350" s="95"/>
      <c r="L350" s="96"/>
      <c r="M350" s="96"/>
      <c r="N350" s="96"/>
      <c r="O350" s="96"/>
      <c r="P350" s="96"/>
    </row>
    <row r="351" spans="11:16">
      <c r="K351" s="95"/>
      <c r="L351" s="96"/>
      <c r="M351" s="96"/>
      <c r="N351" s="96"/>
      <c r="O351" s="96"/>
      <c r="P351" s="96"/>
    </row>
    <row r="352" spans="11:16">
      <c r="K352" s="95"/>
      <c r="L352" s="96"/>
      <c r="M352" s="96"/>
      <c r="N352" s="96"/>
      <c r="O352" s="96"/>
      <c r="P352" s="96"/>
    </row>
    <row r="353" spans="11:16">
      <c r="K353" s="95"/>
      <c r="L353" s="96"/>
      <c r="M353" s="96"/>
      <c r="N353" s="96"/>
      <c r="O353" s="96"/>
      <c r="P353" s="96"/>
    </row>
    <row r="354" spans="11:16">
      <c r="K354" s="95"/>
      <c r="L354" s="96"/>
      <c r="M354" s="96"/>
      <c r="N354" s="96"/>
      <c r="O354" s="96"/>
      <c r="P354" s="96"/>
    </row>
    <row r="355" spans="11:16">
      <c r="K355" s="95"/>
      <c r="L355" s="96"/>
      <c r="M355" s="96"/>
      <c r="N355" s="96"/>
      <c r="O355" s="96"/>
      <c r="P355" s="96"/>
    </row>
    <row r="356" spans="11:16">
      <c r="K356" s="95"/>
      <c r="L356" s="96"/>
      <c r="M356" s="96"/>
      <c r="N356" s="96"/>
      <c r="O356" s="96"/>
      <c r="P356" s="96"/>
    </row>
    <row r="357" spans="11:16">
      <c r="K357" s="95"/>
      <c r="L357" s="96"/>
      <c r="M357" s="96"/>
      <c r="N357" s="96"/>
      <c r="O357" s="96"/>
      <c r="P357" s="96"/>
    </row>
    <row r="358" spans="11:16">
      <c r="K358" s="95"/>
      <c r="L358" s="96"/>
      <c r="M358" s="96"/>
      <c r="N358" s="96"/>
      <c r="O358" s="96"/>
      <c r="P358" s="96"/>
    </row>
    <row r="359" spans="11:16">
      <c r="K359" s="95"/>
      <c r="L359" s="96"/>
      <c r="M359" s="96"/>
      <c r="N359" s="96"/>
      <c r="O359" s="96"/>
      <c r="P359" s="96"/>
    </row>
    <row r="360" spans="11:16">
      <c r="K360" s="95"/>
      <c r="L360" s="96"/>
      <c r="M360" s="96"/>
      <c r="N360" s="96"/>
      <c r="O360" s="96"/>
      <c r="P360" s="96"/>
    </row>
    <row r="361" spans="11:16">
      <c r="K361" s="95"/>
      <c r="L361" s="96"/>
      <c r="M361" s="96"/>
      <c r="N361" s="96"/>
      <c r="O361" s="96"/>
      <c r="P361" s="96"/>
    </row>
    <row r="362" spans="11:16">
      <c r="K362" s="95"/>
      <c r="L362" s="96"/>
      <c r="M362" s="96"/>
      <c r="N362" s="96"/>
      <c r="O362" s="96"/>
      <c r="P362" s="96"/>
    </row>
    <row r="363" spans="11:16">
      <c r="K363" s="95"/>
      <c r="L363" s="96"/>
      <c r="M363" s="96"/>
      <c r="N363" s="96"/>
      <c r="O363" s="96"/>
      <c r="P363" s="96"/>
    </row>
    <row r="364" spans="11:16">
      <c r="K364" s="95"/>
      <c r="L364" s="96"/>
      <c r="M364" s="96"/>
      <c r="N364" s="96"/>
      <c r="O364" s="96"/>
      <c r="P364" s="96"/>
    </row>
    <row r="365" spans="11:16">
      <c r="K365" s="95"/>
      <c r="L365" s="96"/>
      <c r="M365" s="96"/>
      <c r="N365" s="96"/>
      <c r="O365" s="96"/>
      <c r="P365" s="96"/>
    </row>
    <row r="366" spans="11:16">
      <c r="K366" s="95"/>
      <c r="L366" s="96"/>
      <c r="M366" s="96"/>
      <c r="N366" s="96"/>
      <c r="O366" s="96"/>
      <c r="P366" s="96"/>
    </row>
    <row r="367" spans="11:16">
      <c r="K367" s="95"/>
      <c r="L367" s="96"/>
      <c r="M367" s="96"/>
      <c r="N367" s="96"/>
      <c r="O367" s="96"/>
      <c r="P367" s="96"/>
    </row>
    <row r="368" spans="11:16">
      <c r="K368" s="95"/>
      <c r="L368" s="96"/>
      <c r="M368" s="96"/>
      <c r="N368" s="96"/>
      <c r="O368" s="96"/>
      <c r="P368" s="96"/>
    </row>
    <row r="369" spans="11:16">
      <c r="K369" s="95"/>
      <c r="L369" s="96"/>
      <c r="M369" s="96"/>
      <c r="N369" s="96"/>
      <c r="O369" s="96"/>
      <c r="P369" s="96"/>
    </row>
    <row r="370" spans="11:16">
      <c r="K370" s="95"/>
      <c r="L370" s="96"/>
      <c r="M370" s="96"/>
      <c r="N370" s="96"/>
      <c r="O370" s="96"/>
      <c r="P370" s="96"/>
    </row>
    <row r="371" spans="11:16">
      <c r="K371" s="95"/>
      <c r="L371" s="96"/>
      <c r="M371" s="96"/>
      <c r="N371" s="96"/>
      <c r="O371" s="96"/>
      <c r="P371" s="96"/>
    </row>
    <row r="372" spans="11:16">
      <c r="K372" s="95"/>
      <c r="L372" s="96"/>
      <c r="M372" s="96"/>
      <c r="N372" s="96"/>
      <c r="O372" s="96"/>
      <c r="P372" s="96"/>
    </row>
    <row r="373" spans="11:16">
      <c r="K373" s="95"/>
      <c r="L373" s="96"/>
      <c r="M373" s="96"/>
      <c r="N373" s="96"/>
      <c r="O373" s="96"/>
      <c r="P373" s="96"/>
    </row>
    <row r="374" spans="11:16">
      <c r="K374" s="95"/>
      <c r="L374" s="96"/>
      <c r="M374" s="96"/>
      <c r="N374" s="96"/>
      <c r="O374" s="96"/>
      <c r="P374" s="96"/>
    </row>
    <row r="375" spans="11:16">
      <c r="K375" s="95"/>
      <c r="L375" s="96"/>
      <c r="M375" s="96"/>
      <c r="N375" s="96"/>
      <c r="O375" s="96"/>
      <c r="P375" s="96"/>
    </row>
    <row r="376" spans="11:16">
      <c r="K376" s="95"/>
      <c r="L376" s="96"/>
      <c r="M376" s="96"/>
      <c r="N376" s="96"/>
      <c r="O376" s="96"/>
      <c r="P376" s="96"/>
    </row>
    <row r="377" spans="11:16">
      <c r="K377" s="95"/>
      <c r="L377" s="96"/>
      <c r="M377" s="96"/>
      <c r="N377" s="96"/>
      <c r="O377" s="96"/>
      <c r="P377" s="96"/>
    </row>
    <row r="378" spans="11:16">
      <c r="K378" s="95"/>
      <c r="L378" s="96"/>
      <c r="M378" s="96"/>
      <c r="N378" s="96"/>
      <c r="O378" s="96"/>
      <c r="P378" s="96"/>
    </row>
    <row r="379" spans="11:16">
      <c r="K379" s="95"/>
      <c r="L379" s="96"/>
      <c r="M379" s="96"/>
      <c r="N379" s="96"/>
      <c r="O379" s="96"/>
      <c r="P379" s="96"/>
    </row>
    <row r="380" spans="11:16">
      <c r="K380" s="95"/>
      <c r="L380" s="96"/>
      <c r="M380" s="96"/>
      <c r="N380" s="96"/>
      <c r="O380" s="96"/>
      <c r="P380" s="96"/>
    </row>
    <row r="381" spans="11:16">
      <c r="K381" s="95"/>
      <c r="L381" s="96"/>
      <c r="M381" s="96"/>
      <c r="N381" s="96"/>
      <c r="O381" s="96"/>
      <c r="P381" s="96"/>
    </row>
    <row r="382" spans="11:16">
      <c r="K382" s="95"/>
      <c r="L382" s="96"/>
      <c r="M382" s="96"/>
      <c r="N382" s="96"/>
      <c r="O382" s="96"/>
      <c r="P382" s="96"/>
    </row>
    <row r="383" spans="11:16">
      <c r="K383" s="95"/>
      <c r="L383" s="96"/>
      <c r="M383" s="96"/>
      <c r="N383" s="96"/>
      <c r="O383" s="96"/>
      <c r="P383" s="96"/>
    </row>
    <row r="384" spans="11:16">
      <c r="K384" s="95"/>
      <c r="L384" s="96"/>
      <c r="M384" s="96"/>
      <c r="N384" s="96"/>
      <c r="O384" s="96"/>
      <c r="P384" s="96"/>
    </row>
    <row r="385" spans="11:16">
      <c r="K385" s="95"/>
      <c r="L385" s="96"/>
      <c r="M385" s="96"/>
      <c r="N385" s="96"/>
      <c r="O385" s="96"/>
      <c r="P385" s="96"/>
    </row>
    <row r="386" spans="11:16">
      <c r="K386" s="95"/>
      <c r="L386" s="96"/>
      <c r="M386" s="96"/>
      <c r="N386" s="96"/>
      <c r="O386" s="96"/>
      <c r="P386" s="96"/>
    </row>
    <row r="387" spans="11:16">
      <c r="K387" s="95"/>
      <c r="L387" s="96"/>
      <c r="M387" s="96"/>
      <c r="N387" s="96"/>
      <c r="O387" s="96"/>
      <c r="P387" s="96"/>
    </row>
    <row r="388" spans="11:16">
      <c r="K388" s="95"/>
      <c r="L388" s="96"/>
      <c r="M388" s="96"/>
      <c r="N388" s="96"/>
      <c r="O388" s="96"/>
      <c r="P388" s="96"/>
    </row>
    <row r="389" spans="11:16">
      <c r="K389" s="95"/>
      <c r="L389" s="96"/>
      <c r="M389" s="96"/>
      <c r="N389" s="96"/>
      <c r="O389" s="96"/>
      <c r="P389" s="96"/>
    </row>
    <row r="390" spans="11:16">
      <c r="K390" s="95"/>
      <c r="L390" s="96"/>
      <c r="M390" s="96"/>
      <c r="N390" s="96"/>
      <c r="O390" s="96"/>
      <c r="P390" s="96"/>
    </row>
    <row r="391" spans="11:16">
      <c r="K391" s="95"/>
      <c r="L391" s="96"/>
      <c r="M391" s="96"/>
      <c r="N391" s="96"/>
      <c r="O391" s="96"/>
      <c r="P391" s="96"/>
    </row>
    <row r="392" spans="11:16">
      <c r="K392" s="95"/>
      <c r="L392" s="96"/>
      <c r="M392" s="96"/>
      <c r="N392" s="96"/>
      <c r="O392" s="96"/>
      <c r="P392" s="96"/>
    </row>
    <row r="393" spans="11:16">
      <c r="K393" s="95"/>
      <c r="L393" s="96"/>
      <c r="M393" s="96"/>
      <c r="N393" s="96"/>
      <c r="O393" s="96"/>
      <c r="P393" s="96"/>
    </row>
    <row r="394" spans="11:16">
      <c r="K394" s="95"/>
      <c r="L394" s="96"/>
      <c r="M394" s="96"/>
      <c r="N394" s="96"/>
      <c r="O394" s="96"/>
      <c r="P394" s="96"/>
    </row>
    <row r="395" spans="11:16">
      <c r="K395" s="95"/>
      <c r="L395" s="96"/>
      <c r="M395" s="96"/>
      <c r="N395" s="96"/>
      <c r="O395" s="96"/>
      <c r="P395" s="96"/>
    </row>
    <row r="396" spans="11:16">
      <c r="K396" s="95"/>
      <c r="L396" s="96"/>
      <c r="M396" s="96"/>
      <c r="N396" s="96"/>
      <c r="O396" s="96"/>
      <c r="P396" s="96"/>
    </row>
    <row r="397" spans="11:16">
      <c r="K397" s="95"/>
      <c r="L397" s="96"/>
      <c r="M397" s="96"/>
      <c r="N397" s="96"/>
      <c r="O397" s="96"/>
      <c r="P397" s="96"/>
    </row>
    <row r="398" spans="11:16">
      <c r="K398" s="95"/>
      <c r="L398" s="96"/>
      <c r="M398" s="96"/>
      <c r="N398" s="96"/>
      <c r="O398" s="96"/>
      <c r="P398" s="96"/>
    </row>
    <row r="399" spans="11:16">
      <c r="K399" s="95"/>
      <c r="L399" s="96"/>
      <c r="M399" s="96"/>
      <c r="N399" s="96"/>
      <c r="O399" s="96"/>
      <c r="P399" s="96"/>
    </row>
    <row r="400" spans="11:16">
      <c r="K400" s="95"/>
      <c r="L400" s="96"/>
      <c r="M400" s="96"/>
      <c r="N400" s="96"/>
      <c r="O400" s="96"/>
      <c r="P400" s="96"/>
    </row>
    <row r="401" spans="11:16">
      <c r="K401" s="95"/>
      <c r="L401" s="96"/>
      <c r="M401" s="96"/>
      <c r="N401" s="96"/>
      <c r="O401" s="96"/>
      <c r="P401" s="96"/>
    </row>
    <row r="402" spans="11:16">
      <c r="K402" s="95"/>
      <c r="L402" s="96"/>
      <c r="M402" s="96"/>
      <c r="N402" s="96"/>
      <c r="O402" s="96"/>
      <c r="P402" s="96"/>
    </row>
    <row r="403" spans="11:16">
      <c r="K403" s="95"/>
      <c r="L403" s="96"/>
      <c r="M403" s="96"/>
      <c r="N403" s="96"/>
      <c r="O403" s="96"/>
      <c r="P403" s="96"/>
    </row>
    <row r="404" spans="11:16">
      <c r="K404" s="95"/>
      <c r="L404" s="96"/>
      <c r="M404" s="96"/>
      <c r="N404" s="96"/>
      <c r="O404" s="96"/>
      <c r="P404" s="96"/>
    </row>
    <row r="405" spans="11:16">
      <c r="K405" s="95"/>
      <c r="L405" s="96"/>
      <c r="M405" s="96"/>
      <c r="N405" s="96"/>
      <c r="O405" s="96"/>
      <c r="P405" s="96"/>
    </row>
    <row r="406" spans="11:16">
      <c r="K406" s="95"/>
      <c r="L406" s="96"/>
      <c r="M406" s="96"/>
      <c r="N406" s="96"/>
      <c r="O406" s="96"/>
      <c r="P406" s="96"/>
    </row>
    <row r="407" spans="11:16">
      <c r="K407" s="95"/>
      <c r="L407" s="96"/>
      <c r="M407" s="96"/>
      <c r="N407" s="96"/>
      <c r="O407" s="96"/>
      <c r="P407" s="96"/>
    </row>
    <row r="408" spans="11:16">
      <c r="K408" s="95"/>
      <c r="L408" s="96"/>
      <c r="M408" s="96"/>
      <c r="N408" s="96"/>
      <c r="O408" s="96"/>
      <c r="P408" s="96"/>
    </row>
    <row r="409" spans="11:16">
      <c r="K409" s="95"/>
      <c r="L409" s="96"/>
      <c r="M409" s="96"/>
      <c r="N409" s="96"/>
      <c r="O409" s="96"/>
      <c r="P409" s="96"/>
    </row>
    <row r="410" spans="11:16">
      <c r="K410" s="95"/>
      <c r="L410" s="96"/>
      <c r="M410" s="96"/>
      <c r="N410" s="96"/>
      <c r="O410" s="96"/>
      <c r="P410" s="96"/>
    </row>
    <row r="411" spans="11:16">
      <c r="K411" s="95"/>
      <c r="L411" s="96"/>
      <c r="M411" s="96"/>
      <c r="N411" s="96"/>
      <c r="O411" s="96"/>
      <c r="P411" s="96"/>
    </row>
    <row r="412" spans="11:16">
      <c r="K412" s="95"/>
      <c r="L412" s="96"/>
      <c r="M412" s="96"/>
      <c r="N412" s="96"/>
      <c r="O412" s="96"/>
      <c r="P412" s="96"/>
    </row>
    <row r="413" spans="11:16">
      <c r="K413" s="95"/>
      <c r="L413" s="96"/>
      <c r="M413" s="96"/>
      <c r="N413" s="96"/>
      <c r="O413" s="96"/>
      <c r="P413" s="96"/>
    </row>
    <row r="414" spans="11:16">
      <c r="K414" s="95"/>
      <c r="L414" s="96"/>
      <c r="M414" s="96"/>
      <c r="N414" s="96"/>
      <c r="O414" s="96"/>
      <c r="P414" s="96"/>
    </row>
    <row r="415" spans="11:16">
      <c r="K415" s="95"/>
      <c r="L415" s="96"/>
      <c r="M415" s="96"/>
      <c r="N415" s="96"/>
      <c r="O415" s="96"/>
      <c r="P415" s="96"/>
    </row>
    <row r="416" spans="11:16">
      <c r="K416" s="95"/>
      <c r="L416" s="96"/>
      <c r="M416" s="96"/>
      <c r="N416" s="96"/>
      <c r="O416" s="96"/>
      <c r="P416" s="96"/>
    </row>
    <row r="417" spans="11:16">
      <c r="K417" s="95"/>
      <c r="L417" s="96"/>
      <c r="M417" s="96"/>
      <c r="N417" s="96"/>
      <c r="O417" s="96"/>
      <c r="P417" s="96"/>
    </row>
    <row r="418" spans="11:16">
      <c r="K418" s="95"/>
      <c r="L418" s="96"/>
      <c r="M418" s="96"/>
      <c r="N418" s="96"/>
      <c r="O418" s="96"/>
      <c r="P418" s="96"/>
    </row>
    <row r="419" spans="11:16">
      <c r="K419" s="95"/>
      <c r="L419" s="96"/>
      <c r="M419" s="96"/>
      <c r="N419" s="96"/>
      <c r="O419" s="96"/>
      <c r="P419" s="96"/>
    </row>
    <row r="420" spans="11:16">
      <c r="K420" s="95"/>
      <c r="L420" s="96"/>
      <c r="M420" s="96"/>
      <c r="N420" s="96"/>
      <c r="O420" s="96"/>
      <c r="P420" s="96"/>
    </row>
    <row r="421" spans="11:16">
      <c r="K421" s="95"/>
      <c r="L421" s="96"/>
      <c r="M421" s="96"/>
      <c r="N421" s="96"/>
      <c r="O421" s="96"/>
      <c r="P421" s="96"/>
    </row>
    <row r="422" spans="11:16">
      <c r="K422" s="95"/>
      <c r="L422" s="96"/>
      <c r="M422" s="96"/>
      <c r="N422" s="96"/>
      <c r="O422" s="96"/>
      <c r="P422" s="96"/>
    </row>
    <row r="423" spans="11:16">
      <c r="K423" s="95"/>
      <c r="L423" s="96"/>
      <c r="M423" s="96"/>
      <c r="N423" s="96"/>
      <c r="O423" s="96"/>
      <c r="P423" s="96"/>
    </row>
    <row r="424" spans="11:16">
      <c r="K424" s="95"/>
      <c r="L424" s="96"/>
      <c r="M424" s="96"/>
      <c r="N424" s="96"/>
      <c r="O424" s="96"/>
      <c r="P424" s="96"/>
    </row>
    <row r="425" spans="11:16">
      <c r="K425" s="95"/>
      <c r="L425" s="96"/>
      <c r="M425" s="96"/>
      <c r="N425" s="96"/>
      <c r="O425" s="96"/>
      <c r="P425" s="96"/>
    </row>
    <row r="426" spans="11:16">
      <c r="K426" s="95"/>
      <c r="L426" s="96"/>
      <c r="M426" s="96"/>
      <c r="N426" s="96"/>
      <c r="O426" s="96"/>
      <c r="P426" s="96"/>
    </row>
    <row r="427" spans="11:16">
      <c r="K427" s="95"/>
      <c r="L427" s="96"/>
      <c r="M427" s="96"/>
      <c r="N427" s="96"/>
      <c r="O427" s="96"/>
      <c r="P427" s="96"/>
    </row>
    <row r="428" spans="11:16">
      <c r="K428" s="95"/>
      <c r="L428" s="96"/>
      <c r="M428" s="96"/>
      <c r="N428" s="96"/>
      <c r="O428" s="96"/>
      <c r="P428" s="96"/>
    </row>
    <row r="429" spans="11:16">
      <c r="K429" s="95"/>
      <c r="L429" s="96"/>
      <c r="M429" s="96"/>
      <c r="N429" s="96"/>
      <c r="O429" s="96"/>
      <c r="P429" s="96"/>
    </row>
    <row r="430" spans="11:16">
      <c r="K430" s="95"/>
      <c r="L430" s="96"/>
      <c r="M430" s="96"/>
      <c r="N430" s="96"/>
      <c r="O430" s="96"/>
      <c r="P430" s="96"/>
    </row>
    <row r="431" spans="11:16">
      <c r="K431" s="95"/>
      <c r="L431" s="96"/>
      <c r="M431" s="96"/>
      <c r="N431" s="96"/>
      <c r="O431" s="96"/>
      <c r="P431" s="96"/>
    </row>
    <row r="432" spans="11:16">
      <c r="K432" s="95"/>
      <c r="L432" s="96"/>
      <c r="M432" s="96"/>
      <c r="N432" s="96"/>
      <c r="O432" s="96"/>
      <c r="P432" s="96"/>
    </row>
    <row r="433" spans="11:16">
      <c r="K433" s="95"/>
      <c r="L433" s="96"/>
      <c r="M433" s="96"/>
      <c r="N433" s="96"/>
      <c r="O433" s="96"/>
      <c r="P433" s="96"/>
    </row>
    <row r="434" spans="11:16">
      <c r="K434" s="95"/>
      <c r="L434" s="96"/>
      <c r="M434" s="96"/>
      <c r="N434" s="96"/>
      <c r="O434" s="96"/>
      <c r="P434" s="96"/>
    </row>
    <row r="435" spans="11:16">
      <c r="K435" s="95"/>
      <c r="L435" s="96"/>
      <c r="M435" s="96"/>
      <c r="N435" s="96"/>
      <c r="O435" s="96"/>
      <c r="P435" s="96"/>
    </row>
    <row r="436" spans="11:16">
      <c r="K436" s="95"/>
      <c r="L436" s="96"/>
      <c r="M436" s="96"/>
      <c r="N436" s="96"/>
      <c r="O436" s="96"/>
      <c r="P436" s="96"/>
    </row>
    <row r="437" spans="11:16">
      <c r="K437" s="95"/>
      <c r="L437" s="96"/>
      <c r="M437" s="96"/>
      <c r="N437" s="96"/>
      <c r="O437" s="96"/>
      <c r="P437" s="96"/>
    </row>
    <row r="438" spans="11:16">
      <c r="K438" s="95"/>
      <c r="L438" s="96"/>
      <c r="M438" s="96"/>
      <c r="N438" s="96"/>
      <c r="O438" s="96"/>
      <c r="P438" s="96"/>
    </row>
    <row r="439" spans="11:16">
      <c r="K439" s="95"/>
      <c r="L439" s="96"/>
      <c r="M439" s="96"/>
      <c r="N439" s="96"/>
      <c r="O439" s="96"/>
      <c r="P439" s="96"/>
    </row>
    <row r="440" spans="11:16">
      <c r="K440" s="95"/>
      <c r="L440" s="96"/>
      <c r="M440" s="96"/>
      <c r="N440" s="96"/>
      <c r="O440" s="96"/>
      <c r="P440" s="96"/>
    </row>
    <row r="441" spans="11:16">
      <c r="K441" s="95"/>
      <c r="L441" s="96"/>
      <c r="M441" s="96"/>
      <c r="N441" s="96"/>
      <c r="O441" s="96"/>
      <c r="P441" s="96"/>
    </row>
    <row r="442" spans="11:16">
      <c r="K442" s="95"/>
      <c r="L442" s="96"/>
      <c r="M442" s="96"/>
      <c r="N442" s="96"/>
      <c r="O442" s="96"/>
      <c r="P442" s="96"/>
    </row>
    <row r="443" spans="11:16">
      <c r="K443" s="95"/>
      <c r="L443" s="96"/>
      <c r="M443" s="96"/>
      <c r="N443" s="96"/>
      <c r="O443" s="96"/>
      <c r="P443" s="96"/>
    </row>
    <row r="444" spans="11:16">
      <c r="K444" s="95"/>
      <c r="L444" s="96"/>
      <c r="M444" s="96"/>
      <c r="N444" s="96"/>
      <c r="O444" s="96"/>
      <c r="P444" s="96"/>
    </row>
    <row r="445" spans="11:16">
      <c r="K445" s="95"/>
      <c r="L445" s="96"/>
      <c r="M445" s="96"/>
      <c r="N445" s="96"/>
      <c r="O445" s="96"/>
      <c r="P445" s="96"/>
    </row>
    <row r="446" spans="11:16">
      <c r="K446" s="95"/>
      <c r="L446" s="96"/>
      <c r="M446" s="96"/>
      <c r="N446" s="96"/>
      <c r="O446" s="96"/>
      <c r="P446" s="96"/>
    </row>
    <row r="447" spans="11:16">
      <c r="K447" s="95"/>
      <c r="L447" s="96"/>
      <c r="M447" s="96"/>
      <c r="N447" s="96"/>
      <c r="O447" s="96"/>
      <c r="P447" s="96"/>
    </row>
    <row r="448" spans="11:16">
      <c r="K448" s="95"/>
      <c r="L448" s="96"/>
      <c r="M448" s="96"/>
      <c r="N448" s="96"/>
      <c r="O448" s="96"/>
      <c r="P448" s="96"/>
    </row>
    <row r="449" spans="11:16">
      <c r="K449" s="95"/>
      <c r="L449" s="96"/>
      <c r="M449" s="96"/>
      <c r="N449" s="96"/>
      <c r="O449" s="96"/>
      <c r="P449" s="96"/>
    </row>
    <row r="450" spans="11:16">
      <c r="K450" s="95"/>
      <c r="L450" s="96"/>
      <c r="M450" s="96"/>
      <c r="N450" s="96"/>
      <c r="O450" s="96"/>
      <c r="P450" s="96"/>
    </row>
    <row r="451" spans="11:16">
      <c r="K451" s="95"/>
      <c r="L451" s="96"/>
      <c r="M451" s="96"/>
      <c r="N451" s="96"/>
      <c r="O451" s="96"/>
      <c r="P451" s="96"/>
    </row>
    <row r="452" spans="11:16">
      <c r="K452" s="95"/>
      <c r="L452" s="96"/>
      <c r="M452" s="96"/>
      <c r="N452" s="96"/>
      <c r="O452" s="96"/>
      <c r="P452" s="96"/>
    </row>
    <row r="453" spans="11:16">
      <c r="K453" s="95"/>
      <c r="L453" s="96"/>
      <c r="M453" s="96"/>
      <c r="N453" s="96"/>
      <c r="O453" s="96"/>
      <c r="P453" s="96"/>
    </row>
    <row r="454" spans="11:16">
      <c r="K454" s="95"/>
      <c r="L454" s="96"/>
      <c r="M454" s="96"/>
      <c r="N454" s="96"/>
      <c r="O454" s="96"/>
      <c r="P454" s="96"/>
    </row>
    <row r="455" spans="11:16">
      <c r="K455" s="95"/>
      <c r="L455" s="96"/>
      <c r="M455" s="96"/>
      <c r="N455" s="96"/>
      <c r="O455" s="96"/>
      <c r="P455" s="96"/>
    </row>
    <row r="456" spans="11:16">
      <c r="K456" s="95"/>
      <c r="L456" s="96"/>
      <c r="M456" s="96"/>
      <c r="N456" s="96"/>
      <c r="O456" s="96"/>
      <c r="P456" s="96"/>
    </row>
    <row r="457" spans="11:16">
      <c r="K457" s="95"/>
      <c r="L457" s="96"/>
      <c r="M457" s="96"/>
      <c r="N457" s="96"/>
      <c r="O457" s="96"/>
      <c r="P457" s="96"/>
    </row>
    <row r="458" spans="11:16">
      <c r="K458" s="95"/>
      <c r="L458" s="96"/>
      <c r="M458" s="96"/>
      <c r="N458" s="96"/>
      <c r="O458" s="96"/>
      <c r="P458" s="96"/>
    </row>
    <row r="459" spans="11:16">
      <c r="K459" s="95"/>
      <c r="L459" s="96"/>
      <c r="M459" s="96"/>
      <c r="N459" s="96"/>
      <c r="O459" s="96"/>
      <c r="P459" s="96"/>
    </row>
    <row r="460" spans="11:16">
      <c r="K460" s="95"/>
      <c r="L460" s="96"/>
      <c r="M460" s="96"/>
      <c r="N460" s="96"/>
      <c r="O460" s="96"/>
      <c r="P460" s="96"/>
    </row>
    <row r="461" spans="11:16">
      <c r="K461" s="95"/>
      <c r="L461" s="96"/>
      <c r="M461" s="96"/>
      <c r="N461" s="96"/>
      <c r="O461" s="96"/>
      <c r="P461" s="96"/>
    </row>
    <row r="462" spans="11:16">
      <c r="K462" s="95"/>
      <c r="L462" s="96"/>
      <c r="M462" s="96"/>
      <c r="N462" s="96"/>
      <c r="O462" s="96"/>
      <c r="P462" s="96"/>
    </row>
    <row r="463" spans="11:16">
      <c r="K463" s="95"/>
      <c r="L463" s="96"/>
      <c r="M463" s="96"/>
      <c r="N463" s="96"/>
      <c r="O463" s="96"/>
      <c r="P463" s="96"/>
    </row>
    <row r="464" spans="11:16">
      <c r="K464" s="95"/>
      <c r="L464" s="96"/>
      <c r="M464" s="96"/>
      <c r="N464" s="96"/>
      <c r="O464" s="96"/>
      <c r="P464" s="96"/>
    </row>
    <row r="465" spans="11:16">
      <c r="K465" s="95"/>
      <c r="L465" s="96"/>
      <c r="M465" s="96"/>
      <c r="N465" s="96"/>
      <c r="O465" s="96"/>
      <c r="P465" s="96"/>
    </row>
    <row r="466" spans="11:16">
      <c r="K466" s="95"/>
      <c r="L466" s="96"/>
      <c r="M466" s="96"/>
      <c r="N466" s="96"/>
      <c r="O466" s="96"/>
      <c r="P466" s="96"/>
    </row>
    <row r="467" spans="11:16">
      <c r="K467" s="95"/>
      <c r="L467" s="96"/>
      <c r="M467" s="96"/>
      <c r="N467" s="96"/>
      <c r="O467" s="96"/>
      <c r="P467" s="96"/>
    </row>
    <row r="468" spans="11:16">
      <c r="K468" s="95"/>
      <c r="L468" s="96"/>
      <c r="M468" s="96"/>
      <c r="N468" s="96"/>
      <c r="O468" s="96"/>
      <c r="P468" s="96"/>
    </row>
    <row r="469" spans="11:16">
      <c r="K469" s="95"/>
      <c r="L469" s="96"/>
      <c r="M469" s="96"/>
      <c r="N469" s="96"/>
      <c r="O469" s="96"/>
      <c r="P469" s="96"/>
    </row>
    <row r="470" spans="11:16">
      <c r="K470" s="95"/>
      <c r="L470" s="96"/>
      <c r="M470" s="96"/>
      <c r="N470" s="96"/>
      <c r="O470" s="96"/>
      <c r="P470" s="96"/>
    </row>
    <row r="471" spans="11:16">
      <c r="K471" s="95"/>
      <c r="L471" s="96"/>
      <c r="M471" s="96"/>
      <c r="N471" s="96"/>
      <c r="O471" s="96"/>
      <c r="P471" s="96"/>
    </row>
    <row r="472" spans="11:16">
      <c r="K472" s="95"/>
      <c r="L472" s="96"/>
      <c r="M472" s="96"/>
      <c r="N472" s="96"/>
      <c r="O472" s="96"/>
      <c r="P472" s="96"/>
    </row>
    <row r="473" spans="11:16">
      <c r="K473" s="95"/>
      <c r="L473" s="96"/>
      <c r="M473" s="96"/>
      <c r="N473" s="96"/>
      <c r="O473" s="96"/>
      <c r="P473" s="96"/>
    </row>
    <row r="474" spans="11:16">
      <c r="K474" s="95"/>
      <c r="L474" s="96"/>
      <c r="M474" s="96"/>
      <c r="N474" s="96"/>
      <c r="O474" s="96"/>
      <c r="P474" s="96"/>
    </row>
    <row r="475" spans="11:16">
      <c r="K475" s="95"/>
      <c r="L475" s="96"/>
      <c r="M475" s="96"/>
      <c r="N475" s="96"/>
      <c r="O475" s="96"/>
      <c r="P475" s="96"/>
    </row>
    <row r="476" spans="11:16">
      <c r="K476" s="95"/>
      <c r="L476" s="96"/>
      <c r="M476" s="96"/>
      <c r="N476" s="96"/>
      <c r="O476" s="96"/>
      <c r="P476" s="96"/>
    </row>
    <row r="477" spans="11:16">
      <c r="K477" s="95"/>
      <c r="L477" s="96"/>
      <c r="M477" s="96"/>
      <c r="N477" s="96"/>
      <c r="O477" s="96"/>
      <c r="P477" s="96"/>
    </row>
    <row r="478" spans="11:16">
      <c r="K478" s="95"/>
      <c r="L478" s="96"/>
      <c r="M478" s="96"/>
      <c r="N478" s="96"/>
      <c r="O478" s="96"/>
      <c r="P478" s="96"/>
    </row>
    <row r="479" spans="11:16">
      <c r="K479" s="95"/>
      <c r="L479" s="96"/>
      <c r="M479" s="96"/>
      <c r="N479" s="96"/>
      <c r="O479" s="96"/>
      <c r="P479" s="96"/>
    </row>
    <row r="480" spans="11:16">
      <c r="K480" s="95"/>
      <c r="L480" s="96"/>
      <c r="M480" s="96"/>
      <c r="N480" s="96"/>
      <c r="O480" s="96"/>
      <c r="P480" s="96"/>
    </row>
    <row r="481" spans="11:16">
      <c r="K481" s="95"/>
      <c r="L481" s="96"/>
      <c r="M481" s="96"/>
      <c r="N481" s="96"/>
      <c r="O481" s="96"/>
      <c r="P481" s="96"/>
    </row>
    <row r="482" spans="11:16">
      <c r="K482" s="95"/>
      <c r="L482" s="96"/>
      <c r="M482" s="96"/>
      <c r="N482" s="96"/>
      <c r="O482" s="96"/>
      <c r="P482" s="96"/>
    </row>
    <row r="483" spans="11:16">
      <c r="K483" s="95"/>
      <c r="L483" s="96"/>
      <c r="M483" s="96"/>
      <c r="N483" s="96"/>
      <c r="O483" s="96"/>
      <c r="P483" s="96"/>
    </row>
    <row r="484" spans="11:16">
      <c r="K484" s="95"/>
      <c r="L484" s="96"/>
      <c r="M484" s="96"/>
      <c r="N484" s="96"/>
      <c r="O484" s="96"/>
      <c r="P484" s="96"/>
    </row>
    <row r="485" spans="11:16">
      <c r="K485" s="95"/>
      <c r="L485" s="96"/>
      <c r="M485" s="96"/>
      <c r="N485" s="96"/>
      <c r="O485" s="96"/>
      <c r="P485" s="96"/>
    </row>
    <row r="486" spans="11:16">
      <c r="K486" s="95"/>
      <c r="L486" s="96"/>
      <c r="M486" s="96"/>
      <c r="N486" s="96"/>
      <c r="O486" s="96"/>
      <c r="P486" s="96"/>
    </row>
    <row r="487" spans="11:16">
      <c r="K487" s="95"/>
      <c r="L487" s="96"/>
      <c r="M487" s="96"/>
      <c r="N487" s="96"/>
      <c r="O487" s="96"/>
      <c r="P487" s="96"/>
    </row>
    <row r="488" spans="11:16">
      <c r="K488" s="95"/>
      <c r="L488" s="96"/>
      <c r="M488" s="96"/>
      <c r="N488" s="96"/>
      <c r="O488" s="96"/>
      <c r="P488" s="96"/>
    </row>
    <row r="489" spans="11:16">
      <c r="K489" s="95"/>
      <c r="L489" s="96"/>
      <c r="M489" s="96"/>
      <c r="N489" s="96"/>
      <c r="O489" s="96"/>
      <c r="P489" s="96"/>
    </row>
    <row r="490" spans="11:16">
      <c r="K490" s="95"/>
      <c r="L490" s="96"/>
      <c r="M490" s="96"/>
      <c r="N490" s="96"/>
      <c r="O490" s="96"/>
      <c r="P490" s="96"/>
    </row>
    <row r="491" spans="11:16">
      <c r="K491" s="95"/>
      <c r="L491" s="96"/>
      <c r="M491" s="96"/>
      <c r="N491" s="96"/>
      <c r="O491" s="96"/>
      <c r="P491" s="96"/>
    </row>
    <row r="492" spans="11:16">
      <c r="K492" s="95"/>
      <c r="L492" s="96"/>
      <c r="M492" s="96"/>
      <c r="N492" s="96"/>
      <c r="O492" s="96"/>
      <c r="P492" s="96"/>
    </row>
    <row r="493" spans="11:16">
      <c r="K493" s="95"/>
      <c r="L493" s="96"/>
      <c r="M493" s="96"/>
      <c r="N493" s="96"/>
      <c r="O493" s="96"/>
      <c r="P493" s="96"/>
    </row>
    <row r="494" spans="11:16">
      <c r="K494" s="95"/>
      <c r="L494" s="96"/>
      <c r="M494" s="96"/>
      <c r="N494" s="96"/>
      <c r="O494" s="96"/>
      <c r="P494" s="96"/>
    </row>
    <row r="495" spans="11:16">
      <c r="K495" s="95"/>
      <c r="L495" s="96"/>
      <c r="M495" s="96"/>
      <c r="N495" s="96"/>
      <c r="O495" s="96"/>
      <c r="P495" s="96"/>
    </row>
    <row r="496" spans="11:16">
      <c r="K496" s="95"/>
      <c r="L496" s="96"/>
      <c r="M496" s="96"/>
      <c r="N496" s="96"/>
      <c r="O496" s="96"/>
      <c r="P496" s="96"/>
    </row>
    <row r="497" spans="11:16">
      <c r="K497" s="95"/>
      <c r="L497" s="96"/>
      <c r="M497" s="96"/>
      <c r="N497" s="96"/>
      <c r="O497" s="96"/>
      <c r="P497" s="96"/>
    </row>
    <row r="498" spans="11:16">
      <c r="K498" s="95"/>
      <c r="L498" s="96"/>
      <c r="M498" s="96"/>
      <c r="N498" s="96"/>
      <c r="O498" s="96"/>
      <c r="P498" s="96"/>
    </row>
    <row r="499" spans="11:16">
      <c r="K499" s="95"/>
      <c r="L499" s="96"/>
      <c r="M499" s="96"/>
      <c r="N499" s="96"/>
      <c r="O499" s="96"/>
      <c r="P499" s="96"/>
    </row>
    <row r="500" spans="11:16">
      <c r="K500" s="95"/>
      <c r="L500" s="96"/>
      <c r="M500" s="96"/>
      <c r="N500" s="96"/>
      <c r="O500" s="96"/>
      <c r="P500" s="96"/>
    </row>
  </sheetData>
  <pageMargins left="0.7" right="0.7" top="0.75" bottom="0.75" header="0.3" footer="0.3"/>
  <pageSetup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T1770"/>
  <sheetViews>
    <sheetView workbookViewId="0">
      <selection activeCell="C10" sqref="C10"/>
    </sheetView>
  </sheetViews>
  <sheetFormatPr defaultColWidth="9.140625" defaultRowHeight="12"/>
  <cols>
    <col min="1" max="1" width="6.5703125" style="54" bestFit="1" customWidth="1"/>
    <col min="2" max="2" width="60.7109375" style="32" bestFit="1" customWidth="1"/>
    <col min="3" max="4" width="17.28515625" style="54" bestFit="1" customWidth="1"/>
    <col min="5" max="6" width="9.140625" style="32" customWidth="1"/>
    <col min="7" max="7" width="11.5703125" style="32" bestFit="1" customWidth="1"/>
    <col min="8" max="8" width="9.85546875" style="32" bestFit="1" customWidth="1"/>
    <col min="9" max="9" width="10.42578125" style="32" bestFit="1" customWidth="1"/>
    <col min="10" max="12" width="9.140625" style="32" customWidth="1"/>
    <col min="13" max="16384" width="9.140625" style="32"/>
  </cols>
  <sheetData>
    <row r="1" spans="1:20" s="31" customFormat="1" ht="24" customHeight="1">
      <c r="A1" s="104" t="s">
        <v>10</v>
      </c>
      <c r="B1" s="105" t="s">
        <v>11</v>
      </c>
      <c r="C1" s="104" t="s">
        <v>69</v>
      </c>
      <c r="D1" s="104" t="s">
        <v>70</v>
      </c>
      <c r="F1" s="44"/>
      <c r="G1" s="44" t="s">
        <v>71</v>
      </c>
      <c r="H1" s="44" t="s">
        <v>72</v>
      </c>
      <c r="I1" s="44" t="s">
        <v>73</v>
      </c>
    </row>
    <row r="2" spans="1:20" s="31" customFormat="1" ht="24.95" customHeight="1">
      <c r="A2" s="31">
        <v>1</v>
      </c>
      <c r="B2" s="31" t="s">
        <v>20</v>
      </c>
      <c r="F2" s="43" t="s">
        <v>74</v>
      </c>
      <c r="G2" s="45">
        <f>SUM(C2:C14)</f>
        <v>0</v>
      </c>
      <c r="H2" s="45">
        <f>SUM(D2:D14)</f>
        <v>0</v>
      </c>
      <c r="I2" s="46" t="e">
        <f>100%-(H2/G2)</f>
        <v>#DIV/0!</v>
      </c>
      <c r="T2" s="31">
        <v>41195</v>
      </c>
    </row>
    <row r="3" spans="1:20" s="31" customFormat="1" ht="24.95" customHeight="1">
      <c r="A3" s="31">
        <v>2</v>
      </c>
      <c r="B3" s="31" t="s">
        <v>22</v>
      </c>
      <c r="F3" s="43" t="s">
        <v>75</v>
      </c>
      <c r="G3" s="45">
        <f>SUM(C2:C11)</f>
        <v>0</v>
      </c>
      <c r="H3" s="45">
        <f>SUM(D2:D11)</f>
        <v>0</v>
      </c>
      <c r="I3" s="46" t="e">
        <f>100%-(H3/G3)</f>
        <v>#DIV/0!</v>
      </c>
      <c r="T3" s="31">
        <v>41196</v>
      </c>
    </row>
    <row r="4" spans="1:20" s="31" customFormat="1" ht="24.95" customHeight="1">
      <c r="A4" s="31">
        <v>3</v>
      </c>
      <c r="B4" s="31" t="s">
        <v>24</v>
      </c>
      <c r="T4" s="31">
        <v>41197</v>
      </c>
    </row>
    <row r="5" spans="1:20" s="31" customFormat="1" ht="24.95" customHeight="1">
      <c r="T5" s="31">
        <v>13636</v>
      </c>
    </row>
    <row r="6" spans="1:20" s="31" customFormat="1" ht="24.95" customHeight="1">
      <c r="T6" s="31">
        <v>11466</v>
      </c>
    </row>
    <row r="7" spans="1:20" s="31" customFormat="1" ht="24.95" customHeight="1"/>
    <row r="8" spans="1:20" s="31" customFormat="1" ht="24.95" customHeight="1">
      <c r="T8" s="31">
        <v>11468</v>
      </c>
    </row>
    <row r="9" spans="1:20" s="31" customFormat="1" ht="24.95" customHeight="1"/>
    <row r="10" spans="1:20" s="31" customFormat="1" ht="24.95" customHeight="1"/>
    <row r="11" spans="1:20" s="31" customFormat="1" ht="24.95" customHeight="1"/>
    <row r="12" spans="1:20" s="31" customFormat="1" ht="24.95" customHeight="1"/>
    <row r="13" spans="1:20" s="31" customFormat="1" ht="24.95" customHeight="1"/>
    <row r="14" spans="1:20" s="31" customFormat="1" ht="24.95" customHeight="1"/>
    <row r="15" spans="1:20" s="31" customFormat="1"/>
    <row r="16" spans="1:20" s="31" customFormat="1" ht="18" customHeight="1"/>
    <row r="17" s="31" customFormat="1" ht="18" customHeight="1"/>
    <row r="18" s="31" customFormat="1" ht="18" customHeight="1"/>
    <row r="19" s="31" customFormat="1" ht="18" customHeight="1"/>
    <row r="20" s="31" customFormat="1" ht="18" customHeight="1"/>
    <row r="21" s="31" customFormat="1" ht="18" customHeight="1"/>
    <row r="22" s="31" customFormat="1" ht="18" customHeight="1"/>
    <row r="23" s="31" customFormat="1" ht="18" customHeight="1"/>
    <row r="24" s="31" customFormat="1" ht="18" customHeight="1"/>
    <row r="25" s="31" customFormat="1" ht="18" customHeight="1"/>
    <row r="26" s="31" customFormat="1" ht="18" customHeight="1"/>
    <row r="27" s="31" customFormat="1" ht="18" customHeight="1"/>
    <row r="28" s="31" customFormat="1" ht="18" customHeight="1"/>
    <row r="29" s="31" customFormat="1" ht="18" customHeight="1"/>
    <row r="30" s="31" customFormat="1" ht="18" customHeight="1"/>
    <row r="31" s="31" customFormat="1" ht="18" customHeight="1"/>
    <row r="32" ht="18" customHeight="1"/>
    <row r="501" spans="2:4" ht="14.25">
      <c r="B501" s="55"/>
      <c r="C501" s="118">
        <v>0</v>
      </c>
      <c r="D501" s="118">
        <v>0</v>
      </c>
    </row>
    <row r="502" spans="2:4" ht="14.25">
      <c r="B502" s="55"/>
      <c r="C502" s="118">
        <v>0</v>
      </c>
      <c r="D502" s="118">
        <v>0</v>
      </c>
    </row>
    <row r="503" spans="2:4">
      <c r="B503" s="55"/>
    </row>
    <row r="504" spans="2:4">
      <c r="B504" s="55"/>
    </row>
    <row r="505" spans="2:4">
      <c r="B505" s="55"/>
    </row>
    <row r="506" spans="2:4">
      <c r="B506" s="55"/>
    </row>
    <row r="507" spans="2:4">
      <c r="B507" s="55"/>
    </row>
    <row r="508" spans="2:4">
      <c r="B508" s="55"/>
    </row>
    <row r="509" spans="2:4">
      <c r="B509" s="55"/>
    </row>
    <row r="510" spans="2:4">
      <c r="B510" s="55"/>
    </row>
    <row r="511" spans="2:4">
      <c r="B511" s="55"/>
    </row>
    <row r="512" spans="2:4">
      <c r="B512" s="55"/>
    </row>
    <row r="513" spans="2:2">
      <c r="B513" s="55"/>
    </row>
    <row r="514" spans="2:2">
      <c r="B514" s="55"/>
    </row>
    <row r="515" spans="2:2">
      <c r="B515" s="55"/>
    </row>
    <row r="516" spans="2:2">
      <c r="B516" s="55"/>
    </row>
    <row r="517" spans="2:2">
      <c r="B517" s="55"/>
    </row>
    <row r="518" spans="2:2">
      <c r="B518" s="55"/>
    </row>
    <row r="519" spans="2:2">
      <c r="B519" s="55"/>
    </row>
    <row r="520" spans="2:2">
      <c r="B520" s="55"/>
    </row>
    <row r="521" spans="2:2">
      <c r="B521" s="55"/>
    </row>
    <row r="522" spans="2:2">
      <c r="B522" s="55"/>
    </row>
    <row r="523" spans="2:2">
      <c r="B523" s="55"/>
    </row>
    <row r="524" spans="2:2">
      <c r="B524" s="55"/>
    </row>
    <row r="525" spans="2:2">
      <c r="B525" s="55"/>
    </row>
    <row r="526" spans="2:2">
      <c r="B526" s="55"/>
    </row>
    <row r="527" spans="2:2">
      <c r="B527" s="55"/>
    </row>
    <row r="528" spans="2:2">
      <c r="B528" s="55"/>
    </row>
    <row r="529" spans="2:2">
      <c r="B529" s="55"/>
    </row>
    <row r="530" spans="2:2">
      <c r="B530" s="55"/>
    </row>
    <row r="531" spans="2:2">
      <c r="B531" s="55"/>
    </row>
    <row r="532" spans="2:2">
      <c r="B532" s="55"/>
    </row>
    <row r="533" spans="2:2">
      <c r="B533" s="55"/>
    </row>
    <row r="534" spans="2:2">
      <c r="B534" s="55"/>
    </row>
    <row r="535" spans="2:2">
      <c r="B535" s="55"/>
    </row>
    <row r="536" spans="2:2">
      <c r="B536" s="55"/>
    </row>
    <row r="537" spans="2:2">
      <c r="B537" s="55"/>
    </row>
    <row r="538" spans="2:2">
      <c r="B538" s="55"/>
    </row>
    <row r="539" spans="2:2">
      <c r="B539" s="55"/>
    </row>
    <row r="540" spans="2:2">
      <c r="B540" s="55"/>
    </row>
    <row r="541" spans="2:2">
      <c r="B541" s="55"/>
    </row>
    <row r="542" spans="2:2">
      <c r="B542" s="55"/>
    </row>
    <row r="543" spans="2:2">
      <c r="B543" s="55"/>
    </row>
    <row r="544" spans="2:2">
      <c r="B544" s="55"/>
    </row>
    <row r="545" spans="2:2">
      <c r="B545" s="55"/>
    </row>
    <row r="546" spans="2:2">
      <c r="B546" s="55"/>
    </row>
    <row r="547" spans="2:2">
      <c r="B547" s="55"/>
    </row>
    <row r="548" spans="2:2">
      <c r="B548" s="55"/>
    </row>
    <row r="549" spans="2:2">
      <c r="B549" s="55"/>
    </row>
    <row r="550" spans="2:2">
      <c r="B550" s="55"/>
    </row>
    <row r="551" spans="2:2">
      <c r="B551" s="55"/>
    </row>
    <row r="552" spans="2:2">
      <c r="B552" s="55"/>
    </row>
    <row r="553" spans="2:2">
      <c r="B553" s="55"/>
    </row>
    <row r="554" spans="2:2">
      <c r="B554" s="55"/>
    </row>
    <row r="555" spans="2:2">
      <c r="B555" s="55"/>
    </row>
    <row r="556" spans="2:2">
      <c r="B556" s="55"/>
    </row>
    <row r="557" spans="2:2">
      <c r="B557" s="55"/>
    </row>
    <row r="558" spans="2:2">
      <c r="B558" s="55"/>
    </row>
    <row r="559" spans="2:2">
      <c r="B559" s="55"/>
    </row>
    <row r="560" spans="2:2">
      <c r="B560" s="55"/>
    </row>
    <row r="561" spans="2:2">
      <c r="B561" s="55"/>
    </row>
    <row r="562" spans="2:2">
      <c r="B562" s="55"/>
    </row>
    <row r="563" spans="2:2">
      <c r="B563" s="55"/>
    </row>
    <row r="564" spans="2:2">
      <c r="B564" s="55"/>
    </row>
    <row r="565" spans="2:2">
      <c r="B565" s="55"/>
    </row>
    <row r="566" spans="2:2">
      <c r="B566" s="55"/>
    </row>
    <row r="567" spans="2:2">
      <c r="B567" s="55"/>
    </row>
    <row r="568" spans="2:2">
      <c r="B568" s="55"/>
    </row>
    <row r="569" spans="2:2">
      <c r="B569" s="55"/>
    </row>
    <row r="570" spans="2:2">
      <c r="B570" s="55"/>
    </row>
    <row r="571" spans="2:2">
      <c r="B571" s="55"/>
    </row>
    <row r="572" spans="2:2">
      <c r="B572" s="55"/>
    </row>
    <row r="573" spans="2:2">
      <c r="B573" s="55"/>
    </row>
    <row r="574" spans="2:2">
      <c r="B574" s="55"/>
    </row>
    <row r="575" spans="2:2">
      <c r="B575" s="55"/>
    </row>
    <row r="576" spans="2:2">
      <c r="B576" s="55"/>
    </row>
    <row r="577" spans="2:2">
      <c r="B577" s="55"/>
    </row>
    <row r="578" spans="2:2">
      <c r="B578" s="55"/>
    </row>
    <row r="579" spans="2:2">
      <c r="B579" s="55"/>
    </row>
    <row r="580" spans="2:2">
      <c r="B580" s="55"/>
    </row>
    <row r="581" spans="2:2">
      <c r="B581" s="55"/>
    </row>
    <row r="582" spans="2:2">
      <c r="B582" s="55"/>
    </row>
    <row r="583" spans="2:2">
      <c r="B583" s="55"/>
    </row>
    <row r="584" spans="2:2">
      <c r="B584" s="55"/>
    </row>
    <row r="585" spans="2:2">
      <c r="B585" s="55"/>
    </row>
    <row r="586" spans="2:2">
      <c r="B586" s="55"/>
    </row>
    <row r="587" spans="2:2">
      <c r="B587" s="55"/>
    </row>
    <row r="588" spans="2:2">
      <c r="B588" s="55"/>
    </row>
    <row r="589" spans="2:2">
      <c r="B589" s="55"/>
    </row>
    <row r="590" spans="2:2">
      <c r="B590" s="55"/>
    </row>
    <row r="591" spans="2:2">
      <c r="B591" s="55"/>
    </row>
    <row r="592" spans="2:2">
      <c r="B592" s="55"/>
    </row>
    <row r="593" spans="2:2">
      <c r="B593" s="55"/>
    </row>
    <row r="594" spans="2:2">
      <c r="B594" s="55"/>
    </row>
    <row r="595" spans="2:2">
      <c r="B595" s="55"/>
    </row>
    <row r="596" spans="2:2">
      <c r="B596" s="55"/>
    </row>
    <row r="597" spans="2:2">
      <c r="B597" s="55"/>
    </row>
    <row r="598" spans="2:2">
      <c r="B598" s="55"/>
    </row>
    <row r="599" spans="2:2">
      <c r="B599" s="55"/>
    </row>
    <row r="600" spans="2:2">
      <c r="B600" s="55"/>
    </row>
    <row r="601" spans="2:2">
      <c r="B601" s="55"/>
    </row>
    <row r="602" spans="2:2">
      <c r="B602" s="55"/>
    </row>
    <row r="603" spans="2:2">
      <c r="B603" s="55"/>
    </row>
    <row r="604" spans="2:2">
      <c r="B604" s="55"/>
    </row>
    <row r="605" spans="2:2">
      <c r="B605" s="55"/>
    </row>
    <row r="606" spans="2:2">
      <c r="B606" s="55"/>
    </row>
    <row r="607" spans="2:2">
      <c r="B607" s="55"/>
    </row>
    <row r="608" spans="2:2">
      <c r="B608" s="55"/>
    </row>
    <row r="609" spans="2:2">
      <c r="B609" s="55"/>
    </row>
    <row r="610" spans="2:2">
      <c r="B610" s="55"/>
    </row>
    <row r="611" spans="2:2">
      <c r="B611" s="55"/>
    </row>
    <row r="612" spans="2:2">
      <c r="B612" s="55"/>
    </row>
    <row r="613" spans="2:2">
      <c r="B613" s="55"/>
    </row>
    <row r="614" spans="2:2">
      <c r="B614" s="55"/>
    </row>
    <row r="615" spans="2:2">
      <c r="B615" s="55"/>
    </row>
    <row r="616" spans="2:2">
      <c r="B616" s="55"/>
    </row>
    <row r="617" spans="2:2">
      <c r="B617" s="55"/>
    </row>
    <row r="618" spans="2:2">
      <c r="B618" s="55"/>
    </row>
    <row r="619" spans="2:2">
      <c r="B619" s="55"/>
    </row>
    <row r="620" spans="2:2">
      <c r="B620" s="55"/>
    </row>
    <row r="621" spans="2:2">
      <c r="B621" s="55"/>
    </row>
    <row r="622" spans="2:2">
      <c r="B622" s="55"/>
    </row>
    <row r="623" spans="2:2">
      <c r="B623" s="55"/>
    </row>
    <row r="624" spans="2:2">
      <c r="B624" s="55"/>
    </row>
    <row r="625" spans="2:2">
      <c r="B625" s="55"/>
    </row>
    <row r="626" spans="2:2">
      <c r="B626" s="55"/>
    </row>
    <row r="627" spans="2:2">
      <c r="B627" s="55"/>
    </row>
    <row r="628" spans="2:2">
      <c r="B628" s="55"/>
    </row>
    <row r="629" spans="2:2">
      <c r="B629" s="55"/>
    </row>
    <row r="630" spans="2:2">
      <c r="B630" s="55"/>
    </row>
    <row r="631" spans="2:2">
      <c r="B631" s="55"/>
    </row>
    <row r="632" spans="2:2">
      <c r="B632" s="55"/>
    </row>
    <row r="633" spans="2:2">
      <c r="B633" s="55"/>
    </row>
    <row r="634" spans="2:2">
      <c r="B634" s="55"/>
    </row>
    <row r="635" spans="2:2">
      <c r="B635" s="55"/>
    </row>
    <row r="636" spans="2:2">
      <c r="B636" s="55"/>
    </row>
    <row r="637" spans="2:2">
      <c r="B637" s="55"/>
    </row>
    <row r="638" spans="2:2">
      <c r="B638" s="55"/>
    </row>
    <row r="639" spans="2:2">
      <c r="B639" s="55"/>
    </row>
    <row r="640" spans="2:2">
      <c r="B640" s="55"/>
    </row>
    <row r="641" spans="2:2">
      <c r="B641" s="55"/>
    </row>
    <row r="642" spans="2:2">
      <c r="B642" s="55"/>
    </row>
    <row r="643" spans="2:2">
      <c r="B643" s="55"/>
    </row>
    <row r="644" spans="2:2">
      <c r="B644" s="55"/>
    </row>
    <row r="645" spans="2:2">
      <c r="B645" s="55"/>
    </row>
    <row r="646" spans="2:2">
      <c r="B646" s="55"/>
    </row>
    <row r="647" spans="2:2">
      <c r="B647" s="55"/>
    </row>
    <row r="648" spans="2:2">
      <c r="B648" s="55"/>
    </row>
    <row r="649" spans="2:2">
      <c r="B649" s="55"/>
    </row>
    <row r="650" spans="2:2">
      <c r="B650" s="55"/>
    </row>
    <row r="651" spans="2:2">
      <c r="B651" s="55"/>
    </row>
    <row r="652" spans="2:2">
      <c r="B652" s="55"/>
    </row>
    <row r="653" spans="2:2">
      <c r="B653" s="55"/>
    </row>
    <row r="654" spans="2:2">
      <c r="B654" s="55"/>
    </row>
    <row r="655" spans="2:2">
      <c r="B655" s="55"/>
    </row>
    <row r="656" spans="2:2">
      <c r="B656" s="55"/>
    </row>
    <row r="657" spans="2:2">
      <c r="B657" s="55"/>
    </row>
    <row r="658" spans="2:2">
      <c r="B658" s="55"/>
    </row>
    <row r="659" spans="2:2">
      <c r="B659" s="55"/>
    </row>
    <row r="660" spans="2:2">
      <c r="B660" s="55"/>
    </row>
    <row r="661" spans="2:2">
      <c r="B661" s="55"/>
    </row>
    <row r="662" spans="2:2">
      <c r="B662" s="55"/>
    </row>
    <row r="663" spans="2:2">
      <c r="B663" s="55"/>
    </row>
    <row r="664" spans="2:2">
      <c r="B664" s="55"/>
    </row>
    <row r="665" spans="2:2">
      <c r="B665" s="55"/>
    </row>
    <row r="666" spans="2:2">
      <c r="B666" s="55"/>
    </row>
    <row r="667" spans="2:2">
      <c r="B667" s="55"/>
    </row>
    <row r="668" spans="2:2">
      <c r="B668" s="55"/>
    </row>
    <row r="669" spans="2:2">
      <c r="B669" s="55"/>
    </row>
    <row r="670" spans="2:2">
      <c r="B670" s="55"/>
    </row>
    <row r="671" spans="2:2">
      <c r="B671" s="55"/>
    </row>
    <row r="672" spans="2:2">
      <c r="B672" s="55"/>
    </row>
    <row r="673" spans="2:2">
      <c r="B673" s="55"/>
    </row>
    <row r="674" spans="2:2">
      <c r="B674" s="55"/>
    </row>
    <row r="675" spans="2:2">
      <c r="B675" s="55"/>
    </row>
    <row r="676" spans="2:2">
      <c r="B676" s="55"/>
    </row>
    <row r="677" spans="2:2">
      <c r="B677" s="55"/>
    </row>
    <row r="678" spans="2:2">
      <c r="B678" s="55"/>
    </row>
    <row r="679" spans="2:2">
      <c r="B679" s="55"/>
    </row>
    <row r="680" spans="2:2">
      <c r="B680" s="55"/>
    </row>
    <row r="681" spans="2:2">
      <c r="B681" s="55"/>
    </row>
    <row r="682" spans="2:2">
      <c r="B682" s="55"/>
    </row>
    <row r="683" spans="2:2">
      <c r="B683" s="55"/>
    </row>
    <row r="684" spans="2:2">
      <c r="B684" s="55"/>
    </row>
    <row r="685" spans="2:2">
      <c r="B685" s="55"/>
    </row>
    <row r="686" spans="2:2">
      <c r="B686" s="55"/>
    </row>
    <row r="687" spans="2:2">
      <c r="B687" s="55"/>
    </row>
    <row r="688" spans="2:2">
      <c r="B688" s="55"/>
    </row>
    <row r="689" spans="2:2">
      <c r="B689" s="55"/>
    </row>
    <row r="690" spans="2:2">
      <c r="B690" s="55"/>
    </row>
    <row r="691" spans="2:2">
      <c r="B691" s="55"/>
    </row>
    <row r="692" spans="2:2">
      <c r="B692" s="55"/>
    </row>
    <row r="693" spans="2:2">
      <c r="B693" s="55"/>
    </row>
    <row r="694" spans="2:2">
      <c r="B694" s="55"/>
    </row>
    <row r="695" spans="2:2">
      <c r="B695" s="55"/>
    </row>
    <row r="696" spans="2:2">
      <c r="B696" s="55"/>
    </row>
    <row r="697" spans="2:2">
      <c r="B697" s="55"/>
    </row>
    <row r="698" spans="2:2">
      <c r="B698" s="55"/>
    </row>
    <row r="699" spans="2:2">
      <c r="B699" s="55"/>
    </row>
    <row r="700" spans="2:2">
      <c r="B700" s="55"/>
    </row>
    <row r="701" spans="2:2">
      <c r="B701" s="55"/>
    </row>
    <row r="702" spans="2:2">
      <c r="B702" s="55"/>
    </row>
    <row r="703" spans="2:2">
      <c r="B703" s="55"/>
    </row>
    <row r="704" spans="2:2">
      <c r="B704" s="55"/>
    </row>
    <row r="705" spans="2:2">
      <c r="B705" s="55"/>
    </row>
    <row r="706" spans="2:2">
      <c r="B706" s="55"/>
    </row>
    <row r="707" spans="2:2">
      <c r="B707" s="55"/>
    </row>
    <row r="708" spans="2:2">
      <c r="B708" s="55"/>
    </row>
    <row r="709" spans="2:2">
      <c r="B709" s="55"/>
    </row>
    <row r="710" spans="2:2">
      <c r="B710" s="55"/>
    </row>
    <row r="711" spans="2:2">
      <c r="B711" s="55"/>
    </row>
    <row r="712" spans="2:2">
      <c r="B712" s="55"/>
    </row>
    <row r="713" spans="2:2">
      <c r="B713" s="55"/>
    </row>
    <row r="714" spans="2:2">
      <c r="B714" s="55"/>
    </row>
    <row r="715" spans="2:2">
      <c r="B715" s="55"/>
    </row>
    <row r="716" spans="2:2">
      <c r="B716" s="55"/>
    </row>
    <row r="717" spans="2:2">
      <c r="B717" s="55"/>
    </row>
    <row r="718" spans="2:2">
      <c r="B718" s="55"/>
    </row>
    <row r="719" spans="2:2">
      <c r="B719" s="55"/>
    </row>
    <row r="720" spans="2:2">
      <c r="B720" s="55"/>
    </row>
    <row r="721" spans="2:2">
      <c r="B721" s="55"/>
    </row>
    <row r="722" spans="2:2">
      <c r="B722" s="55"/>
    </row>
    <row r="723" spans="2:2">
      <c r="B723" s="55"/>
    </row>
    <row r="724" spans="2:2">
      <c r="B724" s="55"/>
    </row>
    <row r="725" spans="2:2">
      <c r="B725" s="55"/>
    </row>
    <row r="726" spans="2:2">
      <c r="B726" s="55"/>
    </row>
    <row r="727" spans="2:2">
      <c r="B727" s="55"/>
    </row>
    <row r="728" spans="2:2">
      <c r="B728" s="55"/>
    </row>
    <row r="729" spans="2:2">
      <c r="B729" s="55"/>
    </row>
    <row r="730" spans="2:2">
      <c r="B730" s="55"/>
    </row>
    <row r="731" spans="2:2">
      <c r="B731" s="55"/>
    </row>
    <row r="732" spans="2:2">
      <c r="B732" s="55"/>
    </row>
    <row r="733" spans="2:2">
      <c r="B733" s="55"/>
    </row>
    <row r="734" spans="2:2">
      <c r="B734" s="55"/>
    </row>
    <row r="735" spans="2:2">
      <c r="B735" s="55"/>
    </row>
    <row r="736" spans="2:2">
      <c r="B736" s="55"/>
    </row>
    <row r="737" spans="2:2">
      <c r="B737" s="55"/>
    </row>
    <row r="738" spans="2:2">
      <c r="B738" s="55"/>
    </row>
    <row r="739" spans="2:2">
      <c r="B739" s="55"/>
    </row>
    <row r="740" spans="2:2">
      <c r="B740" s="55"/>
    </row>
    <row r="741" spans="2:2">
      <c r="B741" s="55"/>
    </row>
    <row r="742" spans="2:2">
      <c r="B742" s="55"/>
    </row>
    <row r="743" spans="2:2">
      <c r="B743" s="55"/>
    </row>
    <row r="744" spans="2:2">
      <c r="B744" s="55"/>
    </row>
    <row r="745" spans="2:2">
      <c r="B745" s="55"/>
    </row>
    <row r="746" spans="2:2">
      <c r="B746" s="55"/>
    </row>
    <row r="747" spans="2:2">
      <c r="B747" s="55"/>
    </row>
    <row r="748" spans="2:2">
      <c r="B748" s="55"/>
    </row>
    <row r="749" spans="2:2">
      <c r="B749" s="55"/>
    </row>
    <row r="750" spans="2:2">
      <c r="B750" s="55"/>
    </row>
    <row r="751" spans="2:2">
      <c r="B751" s="55"/>
    </row>
    <row r="752" spans="2:2">
      <c r="B752" s="55"/>
    </row>
    <row r="753" spans="2:2">
      <c r="B753" s="55"/>
    </row>
    <row r="754" spans="2:2">
      <c r="B754" s="55"/>
    </row>
    <row r="755" spans="2:2">
      <c r="B755" s="55"/>
    </row>
    <row r="756" spans="2:2">
      <c r="B756" s="55"/>
    </row>
    <row r="757" spans="2:2">
      <c r="B757" s="55"/>
    </row>
    <row r="758" spans="2:2">
      <c r="B758" s="55"/>
    </row>
    <row r="759" spans="2:2">
      <c r="B759" s="55"/>
    </row>
    <row r="760" spans="2:2">
      <c r="B760" s="55"/>
    </row>
    <row r="761" spans="2:2">
      <c r="B761" s="55"/>
    </row>
    <row r="762" spans="2:2">
      <c r="B762" s="55"/>
    </row>
    <row r="763" spans="2:2">
      <c r="B763" s="55"/>
    </row>
    <row r="764" spans="2:2">
      <c r="B764" s="55"/>
    </row>
    <row r="765" spans="2:2">
      <c r="B765" s="55"/>
    </row>
    <row r="766" spans="2:2">
      <c r="B766" s="55"/>
    </row>
    <row r="767" spans="2:2">
      <c r="B767" s="55"/>
    </row>
    <row r="768" spans="2:2">
      <c r="B768" s="55"/>
    </row>
    <row r="769" spans="2:2">
      <c r="B769" s="55"/>
    </row>
    <row r="770" spans="2:2">
      <c r="B770" s="55"/>
    </row>
    <row r="771" spans="2:2">
      <c r="B771" s="55"/>
    </row>
    <row r="772" spans="2:2">
      <c r="B772" s="55"/>
    </row>
    <row r="773" spans="2:2">
      <c r="B773" s="55"/>
    </row>
    <row r="774" spans="2:2">
      <c r="B774" s="55"/>
    </row>
    <row r="775" spans="2:2">
      <c r="B775" s="55"/>
    </row>
    <row r="776" spans="2:2">
      <c r="B776" s="55"/>
    </row>
    <row r="777" spans="2:2">
      <c r="B777" s="55"/>
    </row>
    <row r="778" spans="2:2">
      <c r="B778" s="55"/>
    </row>
    <row r="779" spans="2:2">
      <c r="B779" s="55"/>
    </row>
    <row r="780" spans="2:2">
      <c r="B780" s="55"/>
    </row>
    <row r="781" spans="2:2">
      <c r="B781" s="55"/>
    </row>
    <row r="782" spans="2:2">
      <c r="B782" s="55"/>
    </row>
    <row r="783" spans="2:2">
      <c r="B783" s="55"/>
    </row>
    <row r="784" spans="2:2">
      <c r="B784" s="55"/>
    </row>
    <row r="785" spans="2:2">
      <c r="B785" s="55"/>
    </row>
    <row r="786" spans="2:2">
      <c r="B786" s="55"/>
    </row>
    <row r="787" spans="2:2">
      <c r="B787" s="55"/>
    </row>
    <row r="788" spans="2:2">
      <c r="B788" s="55"/>
    </row>
    <row r="789" spans="2:2">
      <c r="B789" s="55"/>
    </row>
    <row r="790" spans="2:2">
      <c r="B790" s="55"/>
    </row>
    <row r="791" spans="2:2">
      <c r="B791" s="55"/>
    </row>
    <row r="792" spans="2:2">
      <c r="B792" s="55"/>
    </row>
    <row r="793" spans="2:2">
      <c r="B793" s="55"/>
    </row>
    <row r="794" spans="2:2">
      <c r="B794" s="55"/>
    </row>
    <row r="795" spans="2:2">
      <c r="B795" s="55"/>
    </row>
    <row r="796" spans="2:2">
      <c r="B796" s="55"/>
    </row>
    <row r="797" spans="2:2">
      <c r="B797" s="55"/>
    </row>
    <row r="798" spans="2:2">
      <c r="B798" s="55"/>
    </row>
    <row r="799" spans="2:2">
      <c r="B799" s="55"/>
    </row>
    <row r="800" spans="2:2">
      <c r="B800" s="55"/>
    </row>
    <row r="801" spans="2:2">
      <c r="B801" s="55"/>
    </row>
    <row r="802" spans="2:2">
      <c r="B802" s="55"/>
    </row>
    <row r="803" spans="2:2">
      <c r="B803" s="55"/>
    </row>
    <row r="804" spans="2:2">
      <c r="B804" s="55"/>
    </row>
    <row r="805" spans="2:2">
      <c r="B805" s="55"/>
    </row>
    <row r="806" spans="2:2">
      <c r="B806" s="55"/>
    </row>
    <row r="807" spans="2:2">
      <c r="B807" s="55"/>
    </row>
    <row r="808" spans="2:2">
      <c r="B808" s="55"/>
    </row>
    <row r="809" spans="2:2">
      <c r="B809" s="55"/>
    </row>
    <row r="810" spans="2:2">
      <c r="B810" s="55"/>
    </row>
    <row r="811" spans="2:2">
      <c r="B811" s="55"/>
    </row>
    <row r="812" spans="2:2">
      <c r="B812" s="55"/>
    </row>
    <row r="813" spans="2:2">
      <c r="B813" s="55"/>
    </row>
    <row r="814" spans="2:2">
      <c r="B814" s="55"/>
    </row>
    <row r="815" spans="2:2">
      <c r="B815" s="55"/>
    </row>
    <row r="816" spans="2:2">
      <c r="B816" s="55"/>
    </row>
    <row r="817" spans="2:2">
      <c r="B817" s="55"/>
    </row>
    <row r="818" spans="2:2">
      <c r="B818" s="55"/>
    </row>
    <row r="819" spans="2:2">
      <c r="B819" s="55"/>
    </row>
    <row r="820" spans="2:2">
      <c r="B820" s="55"/>
    </row>
    <row r="821" spans="2:2">
      <c r="B821" s="55"/>
    </row>
    <row r="822" spans="2:2">
      <c r="B822" s="55"/>
    </row>
    <row r="823" spans="2:2">
      <c r="B823" s="55"/>
    </row>
    <row r="824" spans="2:2">
      <c r="B824" s="55"/>
    </row>
    <row r="825" spans="2:2">
      <c r="B825" s="55"/>
    </row>
    <row r="826" spans="2:2">
      <c r="B826" s="55"/>
    </row>
    <row r="827" spans="2:2">
      <c r="B827" s="55"/>
    </row>
    <row r="828" spans="2:2">
      <c r="B828" s="55"/>
    </row>
    <row r="829" spans="2:2">
      <c r="B829" s="55"/>
    </row>
    <row r="830" spans="2:2">
      <c r="B830" s="55"/>
    </row>
    <row r="831" spans="2:2">
      <c r="B831" s="55"/>
    </row>
    <row r="832" spans="2:2">
      <c r="B832" s="55"/>
    </row>
    <row r="833" spans="2:2">
      <c r="B833" s="55"/>
    </row>
    <row r="834" spans="2:2">
      <c r="B834" s="55"/>
    </row>
    <row r="835" spans="2:2">
      <c r="B835" s="55"/>
    </row>
    <row r="836" spans="2:2">
      <c r="B836" s="55"/>
    </row>
    <row r="837" spans="2:2">
      <c r="B837" s="55"/>
    </row>
    <row r="838" spans="2:2">
      <c r="B838" s="55"/>
    </row>
    <row r="839" spans="2:2">
      <c r="B839" s="55"/>
    </row>
    <row r="840" spans="2:2">
      <c r="B840" s="55"/>
    </row>
    <row r="841" spans="2:2">
      <c r="B841" s="55"/>
    </row>
    <row r="842" spans="2:2">
      <c r="B842" s="55"/>
    </row>
    <row r="843" spans="2:2">
      <c r="B843" s="55"/>
    </row>
    <row r="844" spans="2:2">
      <c r="B844" s="55"/>
    </row>
    <row r="845" spans="2:2">
      <c r="B845" s="55"/>
    </row>
    <row r="846" spans="2:2">
      <c r="B846" s="55"/>
    </row>
    <row r="847" spans="2:2">
      <c r="B847" s="55"/>
    </row>
    <row r="848" spans="2:2">
      <c r="B848" s="55"/>
    </row>
    <row r="849" spans="2:2">
      <c r="B849" s="55"/>
    </row>
    <row r="850" spans="2:2">
      <c r="B850" s="55"/>
    </row>
    <row r="851" spans="2:2">
      <c r="B851" s="55"/>
    </row>
    <row r="852" spans="2:2">
      <c r="B852" s="55"/>
    </row>
    <row r="853" spans="2:2">
      <c r="B853" s="55"/>
    </row>
    <row r="854" spans="2:2">
      <c r="B854" s="55"/>
    </row>
    <row r="855" spans="2:2">
      <c r="B855" s="55"/>
    </row>
    <row r="856" spans="2:2">
      <c r="B856" s="55"/>
    </row>
    <row r="857" spans="2:2">
      <c r="B857" s="55"/>
    </row>
    <row r="858" spans="2:2">
      <c r="B858" s="55"/>
    </row>
    <row r="859" spans="2:2">
      <c r="B859" s="55"/>
    </row>
    <row r="860" spans="2:2">
      <c r="B860" s="55"/>
    </row>
    <row r="861" spans="2:2">
      <c r="B861" s="55"/>
    </row>
    <row r="862" spans="2:2">
      <c r="B862" s="55"/>
    </row>
    <row r="863" spans="2:2">
      <c r="B863" s="55"/>
    </row>
    <row r="864" spans="2:2">
      <c r="B864" s="55"/>
    </row>
    <row r="865" spans="2:2">
      <c r="B865" s="55"/>
    </row>
    <row r="866" spans="2:2">
      <c r="B866" s="55"/>
    </row>
    <row r="867" spans="2:2">
      <c r="B867" s="55"/>
    </row>
    <row r="868" spans="2:2">
      <c r="B868" s="55"/>
    </row>
    <row r="869" spans="2:2">
      <c r="B869" s="55"/>
    </row>
    <row r="870" spans="2:2">
      <c r="B870" s="55"/>
    </row>
    <row r="871" spans="2:2">
      <c r="B871" s="55"/>
    </row>
    <row r="872" spans="2:2">
      <c r="B872" s="55"/>
    </row>
    <row r="873" spans="2:2">
      <c r="B873" s="55"/>
    </row>
    <row r="874" spans="2:2">
      <c r="B874" s="55"/>
    </row>
    <row r="875" spans="2:2">
      <c r="B875" s="55"/>
    </row>
    <row r="876" spans="2:2">
      <c r="B876" s="55"/>
    </row>
    <row r="877" spans="2:2">
      <c r="B877" s="55"/>
    </row>
    <row r="878" spans="2:2">
      <c r="B878" s="55"/>
    </row>
    <row r="879" spans="2:2">
      <c r="B879" s="55"/>
    </row>
    <row r="880" spans="2:2">
      <c r="B880" s="55"/>
    </row>
    <row r="881" spans="2:2">
      <c r="B881" s="55"/>
    </row>
    <row r="882" spans="2:2">
      <c r="B882" s="55"/>
    </row>
    <row r="883" spans="2:2">
      <c r="B883" s="55"/>
    </row>
    <row r="884" spans="2:2">
      <c r="B884" s="55"/>
    </row>
    <row r="885" spans="2:2">
      <c r="B885" s="55"/>
    </row>
    <row r="886" spans="2:2">
      <c r="B886" s="55"/>
    </row>
    <row r="887" spans="2:2">
      <c r="B887" s="55"/>
    </row>
    <row r="888" spans="2:2">
      <c r="B888" s="55"/>
    </row>
    <row r="889" spans="2:2">
      <c r="B889" s="55"/>
    </row>
    <row r="890" spans="2:2">
      <c r="B890" s="55"/>
    </row>
    <row r="891" spans="2:2">
      <c r="B891" s="55"/>
    </row>
    <row r="892" spans="2:2">
      <c r="B892" s="55"/>
    </row>
    <row r="893" spans="2:2">
      <c r="B893" s="55"/>
    </row>
    <row r="894" spans="2:2">
      <c r="B894" s="55"/>
    </row>
    <row r="895" spans="2:2">
      <c r="B895" s="55"/>
    </row>
    <row r="896" spans="2:2">
      <c r="B896" s="55"/>
    </row>
    <row r="897" spans="2:2">
      <c r="B897" s="55"/>
    </row>
    <row r="898" spans="2:2">
      <c r="B898" s="55"/>
    </row>
    <row r="899" spans="2:2">
      <c r="B899" s="55"/>
    </row>
    <row r="900" spans="2:2">
      <c r="B900" s="55"/>
    </row>
    <row r="901" spans="2:2">
      <c r="B901" s="55"/>
    </row>
    <row r="902" spans="2:2">
      <c r="B902" s="55"/>
    </row>
    <row r="903" spans="2:2">
      <c r="B903" s="55"/>
    </row>
    <row r="904" spans="2:2">
      <c r="B904" s="55"/>
    </row>
    <row r="905" spans="2:2">
      <c r="B905" s="55"/>
    </row>
    <row r="906" spans="2:2">
      <c r="B906" s="55"/>
    </row>
    <row r="907" spans="2:2">
      <c r="B907" s="55"/>
    </row>
    <row r="908" spans="2:2">
      <c r="B908" s="55"/>
    </row>
    <row r="909" spans="2:2">
      <c r="B909" s="55"/>
    </row>
    <row r="910" spans="2:2">
      <c r="B910" s="55"/>
    </row>
    <row r="911" spans="2:2">
      <c r="B911" s="55"/>
    </row>
    <row r="912" spans="2:2">
      <c r="B912" s="55"/>
    </row>
    <row r="913" spans="2:2">
      <c r="B913" s="55"/>
    </row>
    <row r="914" spans="2:2">
      <c r="B914" s="55"/>
    </row>
    <row r="915" spans="2:2">
      <c r="B915" s="55"/>
    </row>
    <row r="916" spans="2:2">
      <c r="B916" s="55"/>
    </row>
    <row r="917" spans="2:2">
      <c r="B917" s="55"/>
    </row>
    <row r="918" spans="2:2">
      <c r="B918" s="55"/>
    </row>
    <row r="919" spans="2:2">
      <c r="B919" s="55"/>
    </row>
    <row r="920" spans="2:2">
      <c r="B920" s="55"/>
    </row>
    <row r="921" spans="2:2">
      <c r="B921" s="55"/>
    </row>
    <row r="922" spans="2:2">
      <c r="B922" s="55"/>
    </row>
    <row r="923" spans="2:2">
      <c r="B923" s="55"/>
    </row>
    <row r="924" spans="2:2">
      <c r="B924" s="55"/>
    </row>
    <row r="925" spans="2:2">
      <c r="B925" s="55"/>
    </row>
    <row r="926" spans="2:2">
      <c r="B926" s="55"/>
    </row>
    <row r="927" spans="2:2">
      <c r="B927" s="55"/>
    </row>
    <row r="928" spans="2:2">
      <c r="B928" s="55"/>
    </row>
    <row r="929" spans="2:2">
      <c r="B929" s="55"/>
    </row>
    <row r="930" spans="2:2">
      <c r="B930" s="55"/>
    </row>
    <row r="931" spans="2:2">
      <c r="B931" s="55"/>
    </row>
    <row r="932" spans="2:2">
      <c r="B932" s="55"/>
    </row>
    <row r="933" spans="2:2">
      <c r="B933" s="55"/>
    </row>
    <row r="934" spans="2:2">
      <c r="B934" s="55"/>
    </row>
    <row r="935" spans="2:2">
      <c r="B935" s="55"/>
    </row>
    <row r="936" spans="2:2">
      <c r="B936" s="55"/>
    </row>
    <row r="937" spans="2:2">
      <c r="B937" s="55"/>
    </row>
    <row r="938" spans="2:2">
      <c r="B938" s="55"/>
    </row>
    <row r="939" spans="2:2">
      <c r="B939" s="55"/>
    </row>
    <row r="940" spans="2:2">
      <c r="B940" s="55"/>
    </row>
    <row r="941" spans="2:2">
      <c r="B941" s="55"/>
    </row>
    <row r="942" spans="2:2">
      <c r="B942" s="55"/>
    </row>
    <row r="943" spans="2:2">
      <c r="B943" s="55"/>
    </row>
    <row r="944" spans="2:2">
      <c r="B944" s="55"/>
    </row>
    <row r="945" spans="2:2">
      <c r="B945" s="55"/>
    </row>
    <row r="946" spans="2:2">
      <c r="B946" s="55"/>
    </row>
    <row r="947" spans="2:2">
      <c r="B947" s="55"/>
    </row>
    <row r="948" spans="2:2">
      <c r="B948" s="55"/>
    </row>
    <row r="949" spans="2:2">
      <c r="B949" s="55"/>
    </row>
    <row r="950" spans="2:2">
      <c r="B950" s="55"/>
    </row>
    <row r="951" spans="2:2">
      <c r="B951" s="55"/>
    </row>
    <row r="952" spans="2:2">
      <c r="B952" s="55"/>
    </row>
    <row r="953" spans="2:2">
      <c r="B953" s="55"/>
    </row>
    <row r="954" spans="2:2">
      <c r="B954" s="55"/>
    </row>
    <row r="955" spans="2:2">
      <c r="B955" s="55"/>
    </row>
    <row r="956" spans="2:2">
      <c r="B956" s="55"/>
    </row>
    <row r="957" spans="2:2">
      <c r="B957" s="55"/>
    </row>
    <row r="958" spans="2:2">
      <c r="B958" s="55"/>
    </row>
    <row r="959" spans="2:2">
      <c r="B959" s="55"/>
    </row>
    <row r="960" spans="2:2">
      <c r="B960" s="55"/>
    </row>
    <row r="961" spans="2:2">
      <c r="B961" s="55"/>
    </row>
    <row r="962" spans="2:2">
      <c r="B962" s="55"/>
    </row>
    <row r="963" spans="2:2">
      <c r="B963" s="55"/>
    </row>
    <row r="964" spans="2:2">
      <c r="B964" s="55"/>
    </row>
    <row r="965" spans="2:2">
      <c r="B965" s="55"/>
    </row>
    <row r="966" spans="2:2">
      <c r="B966" s="55"/>
    </row>
    <row r="967" spans="2:2">
      <c r="B967" s="55"/>
    </row>
    <row r="968" spans="2:2">
      <c r="B968" s="55"/>
    </row>
    <row r="969" spans="2:2">
      <c r="B969" s="55"/>
    </row>
    <row r="970" spans="2:2">
      <c r="B970" s="55"/>
    </row>
    <row r="971" spans="2:2">
      <c r="B971" s="55"/>
    </row>
    <row r="972" spans="2:2">
      <c r="B972" s="55"/>
    </row>
    <row r="973" spans="2:2">
      <c r="B973" s="55"/>
    </row>
    <row r="974" spans="2:2">
      <c r="B974" s="55"/>
    </row>
    <row r="975" spans="2:2">
      <c r="B975" s="55"/>
    </row>
    <row r="976" spans="2:2">
      <c r="B976" s="55"/>
    </row>
    <row r="977" spans="2:2">
      <c r="B977" s="55"/>
    </row>
    <row r="978" spans="2:2">
      <c r="B978" s="55"/>
    </row>
    <row r="979" spans="2:2">
      <c r="B979" s="55"/>
    </row>
    <row r="980" spans="2:2">
      <c r="B980" s="55"/>
    </row>
    <row r="981" spans="2:2">
      <c r="B981" s="55"/>
    </row>
    <row r="982" spans="2:2">
      <c r="B982" s="55"/>
    </row>
    <row r="983" spans="2:2">
      <c r="B983" s="55"/>
    </row>
    <row r="984" spans="2:2">
      <c r="B984" s="55"/>
    </row>
    <row r="985" spans="2:2">
      <c r="B985" s="55"/>
    </row>
    <row r="986" spans="2:2">
      <c r="B986" s="55"/>
    </row>
    <row r="987" spans="2:2">
      <c r="B987" s="55"/>
    </row>
    <row r="988" spans="2:2">
      <c r="B988" s="55"/>
    </row>
    <row r="989" spans="2:2">
      <c r="B989" s="55"/>
    </row>
    <row r="990" spans="2:2">
      <c r="B990" s="55"/>
    </row>
    <row r="991" spans="2:2">
      <c r="B991" s="55"/>
    </row>
    <row r="992" spans="2:2">
      <c r="B992" s="55"/>
    </row>
    <row r="993" spans="2:2">
      <c r="B993" s="55"/>
    </row>
    <row r="994" spans="2:2">
      <c r="B994" s="55"/>
    </row>
    <row r="995" spans="2:2">
      <c r="B995" s="55"/>
    </row>
    <row r="996" spans="2:2">
      <c r="B996" s="55"/>
    </row>
    <row r="997" spans="2:2">
      <c r="B997" s="55"/>
    </row>
    <row r="998" spans="2:2">
      <c r="B998" s="55"/>
    </row>
    <row r="999" spans="2:2">
      <c r="B999" s="55"/>
    </row>
    <row r="1000" spans="2:2">
      <c r="B1000" s="55"/>
    </row>
    <row r="1001" spans="2:2">
      <c r="B1001" s="55"/>
    </row>
    <row r="1002" spans="2:2">
      <c r="B1002" s="55"/>
    </row>
    <row r="1003" spans="2:2">
      <c r="B1003" s="55"/>
    </row>
    <row r="1004" spans="2:2">
      <c r="B1004" s="55"/>
    </row>
    <row r="1005" spans="2:2">
      <c r="B1005" s="55"/>
    </row>
    <row r="1006" spans="2:2">
      <c r="B1006" s="55"/>
    </row>
    <row r="1007" spans="2:2">
      <c r="B1007" s="55"/>
    </row>
    <row r="1008" spans="2:2">
      <c r="B1008" s="55"/>
    </row>
    <row r="1009" spans="2:2">
      <c r="B1009" s="55"/>
    </row>
    <row r="1010" spans="2:2">
      <c r="B1010" s="55"/>
    </row>
    <row r="1011" spans="2:2">
      <c r="B1011" s="55"/>
    </row>
    <row r="1012" spans="2:2">
      <c r="B1012" s="55"/>
    </row>
    <row r="1013" spans="2:2">
      <c r="B1013" s="55"/>
    </row>
    <row r="1014" spans="2:2">
      <c r="B1014" s="55"/>
    </row>
    <row r="1015" spans="2:2">
      <c r="B1015" s="55"/>
    </row>
    <row r="1016" spans="2:2">
      <c r="B1016" s="55"/>
    </row>
    <row r="1017" spans="2:2">
      <c r="B1017" s="55"/>
    </row>
    <row r="1018" spans="2:2">
      <c r="B1018" s="55"/>
    </row>
    <row r="1019" spans="2:2">
      <c r="B1019" s="55"/>
    </row>
    <row r="1020" spans="2:2">
      <c r="B1020" s="55"/>
    </row>
    <row r="1021" spans="2:2">
      <c r="B1021" s="55"/>
    </row>
    <row r="1022" spans="2:2">
      <c r="B1022" s="55"/>
    </row>
    <row r="1023" spans="2:2">
      <c r="B1023" s="55"/>
    </row>
    <row r="1024" spans="2:2">
      <c r="B1024" s="55"/>
    </row>
    <row r="1025" spans="2:2">
      <c r="B1025" s="55"/>
    </row>
    <row r="1026" spans="2:2">
      <c r="B1026" s="55"/>
    </row>
    <row r="1027" spans="2:2">
      <c r="B1027" s="55"/>
    </row>
    <row r="1028" spans="2:2">
      <c r="B1028" s="55"/>
    </row>
    <row r="1029" spans="2:2">
      <c r="B1029" s="55"/>
    </row>
    <row r="1030" spans="2:2">
      <c r="B1030" s="55"/>
    </row>
    <row r="1031" spans="2:2">
      <c r="B1031" s="55"/>
    </row>
    <row r="1032" spans="2:2">
      <c r="B1032" s="55"/>
    </row>
    <row r="1033" spans="2:2">
      <c r="B1033" s="55"/>
    </row>
    <row r="1034" spans="2:2">
      <c r="B1034" s="55"/>
    </row>
    <row r="1035" spans="2:2">
      <c r="B1035" s="55"/>
    </row>
    <row r="1036" spans="2:2">
      <c r="B1036" s="55"/>
    </row>
    <row r="1037" spans="2:2">
      <c r="B1037" s="55"/>
    </row>
    <row r="1038" spans="2:2">
      <c r="B1038" s="55"/>
    </row>
    <row r="1039" spans="2:2">
      <c r="B1039" s="55"/>
    </row>
    <row r="1040" spans="2:2">
      <c r="B1040" s="55"/>
    </row>
    <row r="1041" spans="2:2">
      <c r="B1041" s="55"/>
    </row>
    <row r="1042" spans="2:2">
      <c r="B1042" s="55"/>
    </row>
    <row r="1043" spans="2:2">
      <c r="B1043" s="55"/>
    </row>
    <row r="1044" spans="2:2">
      <c r="B1044" s="55"/>
    </row>
    <row r="1045" spans="2:2">
      <c r="B1045" s="55"/>
    </row>
    <row r="1046" spans="2:2">
      <c r="B1046" s="55"/>
    </row>
    <row r="1047" spans="2:2">
      <c r="B1047" s="55"/>
    </row>
    <row r="1048" spans="2:2">
      <c r="B1048" s="55"/>
    </row>
    <row r="1049" spans="2:2">
      <c r="B1049" s="55"/>
    </row>
    <row r="1050" spans="2:2">
      <c r="B1050" s="55"/>
    </row>
    <row r="1051" spans="2:2">
      <c r="B1051" s="55"/>
    </row>
    <row r="1052" spans="2:2">
      <c r="B1052" s="55"/>
    </row>
    <row r="1053" spans="2:2">
      <c r="B1053" s="55"/>
    </row>
    <row r="1054" spans="2:2">
      <c r="B1054" s="55"/>
    </row>
    <row r="1055" spans="2:2">
      <c r="B1055" s="55"/>
    </row>
    <row r="1056" spans="2:2">
      <c r="B1056" s="55"/>
    </row>
    <row r="1057" spans="2:2">
      <c r="B1057" s="55"/>
    </row>
    <row r="1058" spans="2:2">
      <c r="B1058" s="55"/>
    </row>
    <row r="1059" spans="2:2">
      <c r="B1059" s="55"/>
    </row>
    <row r="1060" spans="2:2">
      <c r="B1060" s="55"/>
    </row>
    <row r="1061" spans="2:2">
      <c r="B1061" s="55"/>
    </row>
    <row r="1062" spans="2:2">
      <c r="B1062" s="55"/>
    </row>
    <row r="1063" spans="2:2">
      <c r="B1063" s="55"/>
    </row>
    <row r="1064" spans="2:2">
      <c r="B1064" s="55"/>
    </row>
    <row r="1065" spans="2:2">
      <c r="B1065" s="55"/>
    </row>
    <row r="1066" spans="2:2">
      <c r="B1066" s="55"/>
    </row>
    <row r="1067" spans="2:2">
      <c r="B1067" s="55"/>
    </row>
    <row r="1068" spans="2:2">
      <c r="B1068" s="55"/>
    </row>
    <row r="1069" spans="2:2">
      <c r="B1069" s="55"/>
    </row>
    <row r="1070" spans="2:2">
      <c r="B1070" s="55"/>
    </row>
    <row r="1071" spans="2:2">
      <c r="B1071" s="55"/>
    </row>
    <row r="1072" spans="2:2">
      <c r="B1072" s="55"/>
    </row>
    <row r="1073" spans="2:2">
      <c r="B1073" s="55"/>
    </row>
    <row r="1074" spans="2:2">
      <c r="B1074" s="55"/>
    </row>
    <row r="1075" spans="2:2">
      <c r="B1075" s="55"/>
    </row>
    <row r="1076" spans="2:2">
      <c r="B1076" s="55"/>
    </row>
    <row r="1077" spans="2:2">
      <c r="B1077" s="55"/>
    </row>
    <row r="1078" spans="2:2">
      <c r="B1078" s="55"/>
    </row>
    <row r="1079" spans="2:2">
      <c r="B1079" s="55"/>
    </row>
    <row r="1080" spans="2:2">
      <c r="B1080" s="55"/>
    </row>
    <row r="1081" spans="2:2">
      <c r="B1081" s="55"/>
    </row>
    <row r="1082" spans="2:2">
      <c r="B1082" s="55"/>
    </row>
    <row r="1083" spans="2:2">
      <c r="B1083" s="55"/>
    </row>
    <row r="1084" spans="2:2">
      <c r="B1084" s="55"/>
    </row>
    <row r="1085" spans="2:2">
      <c r="B1085" s="55"/>
    </row>
    <row r="1086" spans="2:2">
      <c r="B1086" s="55"/>
    </row>
    <row r="1087" spans="2:2">
      <c r="B1087" s="55"/>
    </row>
    <row r="1088" spans="2:2">
      <c r="B1088" s="55"/>
    </row>
    <row r="1089" spans="2:2">
      <c r="B1089" s="55"/>
    </row>
    <row r="1090" spans="2:2">
      <c r="B1090" s="55"/>
    </row>
    <row r="1091" spans="2:2">
      <c r="B1091" s="55"/>
    </row>
    <row r="1092" spans="2:2">
      <c r="B1092" s="55"/>
    </row>
    <row r="1093" spans="2:2">
      <c r="B1093" s="55"/>
    </row>
    <row r="1094" spans="2:2">
      <c r="B1094" s="55"/>
    </row>
    <row r="1095" spans="2:2">
      <c r="B1095" s="55"/>
    </row>
    <row r="1096" spans="2:2">
      <c r="B1096" s="55"/>
    </row>
    <row r="1097" spans="2:2">
      <c r="B1097" s="55"/>
    </row>
    <row r="1098" spans="2:2">
      <c r="B1098" s="55"/>
    </row>
    <row r="1099" spans="2:2">
      <c r="B1099" s="55"/>
    </row>
    <row r="1100" spans="2:2">
      <c r="B1100" s="55"/>
    </row>
    <row r="1101" spans="2:2">
      <c r="B1101" s="55"/>
    </row>
    <row r="1102" spans="2:2">
      <c r="B1102" s="55"/>
    </row>
    <row r="1103" spans="2:2">
      <c r="B1103" s="55"/>
    </row>
    <row r="1104" spans="2:2">
      <c r="B1104" s="55"/>
    </row>
    <row r="1105" spans="2:2">
      <c r="B1105" s="55"/>
    </row>
    <row r="1106" spans="2:2">
      <c r="B1106" s="55"/>
    </row>
    <row r="1107" spans="2:2">
      <c r="B1107" s="55"/>
    </row>
    <row r="1108" spans="2:2">
      <c r="B1108" s="55"/>
    </row>
    <row r="1109" spans="2:2">
      <c r="B1109" s="55"/>
    </row>
    <row r="1110" spans="2:2">
      <c r="B1110" s="55"/>
    </row>
    <row r="1111" spans="2:2">
      <c r="B1111" s="55"/>
    </row>
    <row r="1112" spans="2:2">
      <c r="B1112" s="55"/>
    </row>
    <row r="1113" spans="2:2">
      <c r="B1113" s="55"/>
    </row>
    <row r="1114" spans="2:2">
      <c r="B1114" s="55"/>
    </row>
    <row r="1115" spans="2:2">
      <c r="B1115" s="55"/>
    </row>
    <row r="1116" spans="2:2">
      <c r="B1116" s="55"/>
    </row>
    <row r="1117" spans="2:2">
      <c r="B1117" s="55"/>
    </row>
    <row r="1118" spans="2:2">
      <c r="B1118" s="55"/>
    </row>
    <row r="1119" spans="2:2">
      <c r="B1119" s="55"/>
    </row>
    <row r="1120" spans="2:2">
      <c r="B1120" s="55"/>
    </row>
    <row r="1121" spans="2:2">
      <c r="B1121" s="55"/>
    </row>
    <row r="1122" spans="2:2">
      <c r="B1122" s="55"/>
    </row>
    <row r="1123" spans="2:2">
      <c r="B1123" s="55"/>
    </row>
    <row r="1124" spans="2:2">
      <c r="B1124" s="55"/>
    </row>
    <row r="1125" spans="2:2">
      <c r="B1125" s="55"/>
    </row>
    <row r="1126" spans="2:2">
      <c r="B1126" s="55"/>
    </row>
    <row r="1127" spans="2:2">
      <c r="B1127" s="55"/>
    </row>
    <row r="1128" spans="2:2">
      <c r="B1128" s="55"/>
    </row>
    <row r="1129" spans="2:2">
      <c r="B1129" s="55"/>
    </row>
    <row r="1130" spans="2:2">
      <c r="B1130" s="55"/>
    </row>
    <row r="1131" spans="2:2">
      <c r="B1131" s="55"/>
    </row>
    <row r="1132" spans="2:2">
      <c r="B1132" s="55"/>
    </row>
    <row r="1133" spans="2:2">
      <c r="B1133" s="55"/>
    </row>
    <row r="1134" spans="2:2">
      <c r="B1134" s="55"/>
    </row>
    <row r="1135" spans="2:2">
      <c r="B1135" s="55"/>
    </row>
    <row r="1136" spans="2:2">
      <c r="B1136" s="55"/>
    </row>
    <row r="1137" spans="2:2">
      <c r="B1137" s="55"/>
    </row>
    <row r="1138" spans="2:2">
      <c r="B1138" s="55"/>
    </row>
    <row r="1139" spans="2:2">
      <c r="B1139" s="55"/>
    </row>
    <row r="1140" spans="2:2">
      <c r="B1140" s="55"/>
    </row>
    <row r="1141" spans="2:2">
      <c r="B1141" s="55"/>
    </row>
    <row r="1142" spans="2:2">
      <c r="B1142" s="55"/>
    </row>
    <row r="1143" spans="2:2">
      <c r="B1143" s="55"/>
    </row>
    <row r="1144" spans="2:2">
      <c r="B1144" s="55"/>
    </row>
    <row r="1145" spans="2:2">
      <c r="B1145" s="55"/>
    </row>
    <row r="1146" spans="2:2">
      <c r="B1146" s="55"/>
    </row>
    <row r="1147" spans="2:2">
      <c r="B1147" s="55"/>
    </row>
    <row r="1148" spans="2:2">
      <c r="B1148" s="55"/>
    </row>
    <row r="1149" spans="2:2">
      <c r="B1149" s="55"/>
    </row>
    <row r="1150" spans="2:2">
      <c r="B1150" s="55"/>
    </row>
    <row r="1151" spans="2:2">
      <c r="B1151" s="55"/>
    </row>
    <row r="1152" spans="2:2">
      <c r="B1152" s="55"/>
    </row>
    <row r="1153" spans="2:2">
      <c r="B1153" s="55"/>
    </row>
    <row r="1154" spans="2:2">
      <c r="B1154" s="55"/>
    </row>
    <row r="1155" spans="2:2">
      <c r="B1155" s="55"/>
    </row>
    <row r="1156" spans="2:2">
      <c r="B1156" s="55"/>
    </row>
    <row r="1157" spans="2:2">
      <c r="B1157" s="55"/>
    </row>
    <row r="1158" spans="2:2">
      <c r="B1158" s="55"/>
    </row>
    <row r="1159" spans="2:2">
      <c r="B1159" s="55"/>
    </row>
    <row r="1160" spans="2:2">
      <c r="B1160" s="55"/>
    </row>
    <row r="1161" spans="2:2">
      <c r="B1161" s="55"/>
    </row>
    <row r="1162" spans="2:2">
      <c r="B1162" s="55"/>
    </row>
    <row r="1163" spans="2:2">
      <c r="B1163" s="55"/>
    </row>
    <row r="1164" spans="2:2">
      <c r="B1164" s="55"/>
    </row>
    <row r="1165" spans="2:2">
      <c r="B1165" s="55"/>
    </row>
    <row r="1166" spans="2:2">
      <c r="B1166" s="55"/>
    </row>
    <row r="1167" spans="2:2">
      <c r="B1167" s="55"/>
    </row>
    <row r="1168" spans="2:2">
      <c r="B1168" s="55"/>
    </row>
    <row r="1169" spans="2:2">
      <c r="B1169" s="55"/>
    </row>
    <row r="1170" spans="2:2">
      <c r="B1170" s="55"/>
    </row>
    <row r="1171" spans="2:2">
      <c r="B1171" s="55"/>
    </row>
    <row r="1172" spans="2:2">
      <c r="B1172" s="55"/>
    </row>
    <row r="1173" spans="2:2">
      <c r="B1173" s="55"/>
    </row>
    <row r="1174" spans="2:2">
      <c r="B1174" s="55"/>
    </row>
    <row r="1175" spans="2:2">
      <c r="B1175" s="55"/>
    </row>
    <row r="1176" spans="2:2">
      <c r="B1176" s="55"/>
    </row>
    <row r="1177" spans="2:2">
      <c r="B1177" s="55"/>
    </row>
    <row r="1178" spans="2:2">
      <c r="B1178" s="55"/>
    </row>
    <row r="1179" spans="2:2">
      <c r="B1179" s="55"/>
    </row>
    <row r="1180" spans="2:2">
      <c r="B1180" s="55"/>
    </row>
    <row r="1181" spans="2:2">
      <c r="B1181" s="55"/>
    </row>
    <row r="1182" spans="2:2">
      <c r="B1182" s="55"/>
    </row>
    <row r="1183" spans="2:2">
      <c r="B1183" s="55"/>
    </row>
    <row r="1184" spans="2:2">
      <c r="B1184" s="55"/>
    </row>
    <row r="1185" spans="2:2">
      <c r="B1185" s="55"/>
    </row>
    <row r="1186" spans="2:2">
      <c r="B1186" s="55"/>
    </row>
    <row r="1187" spans="2:2">
      <c r="B1187" s="55"/>
    </row>
    <row r="1188" spans="2:2">
      <c r="B1188" s="55"/>
    </row>
    <row r="1189" spans="2:2">
      <c r="B1189" s="55"/>
    </row>
    <row r="1190" spans="2:2">
      <c r="B1190" s="55"/>
    </row>
    <row r="1191" spans="2:2">
      <c r="B1191" s="55"/>
    </row>
    <row r="1192" spans="2:2">
      <c r="B1192" s="55"/>
    </row>
    <row r="1193" spans="2:2">
      <c r="B1193" s="55"/>
    </row>
    <row r="1194" spans="2:2">
      <c r="B1194" s="55"/>
    </row>
    <row r="1195" spans="2:2">
      <c r="B1195" s="55"/>
    </row>
    <row r="1196" spans="2:2">
      <c r="B1196" s="55"/>
    </row>
    <row r="1197" spans="2:2">
      <c r="B1197" s="55"/>
    </row>
    <row r="1198" spans="2:2">
      <c r="B1198" s="55"/>
    </row>
    <row r="1199" spans="2:2">
      <c r="B1199" s="55"/>
    </row>
    <row r="1200" spans="2:2">
      <c r="B1200" s="55"/>
    </row>
    <row r="1201" spans="2:2">
      <c r="B1201" s="55"/>
    </row>
    <row r="1202" spans="2:2">
      <c r="B1202" s="55"/>
    </row>
    <row r="1203" spans="2:2">
      <c r="B1203" s="55"/>
    </row>
    <row r="1204" spans="2:2">
      <c r="B1204" s="55"/>
    </row>
    <row r="1205" spans="2:2">
      <c r="B1205" s="55"/>
    </row>
    <row r="1206" spans="2:2">
      <c r="B1206" s="55"/>
    </row>
    <row r="1207" spans="2:2">
      <c r="B1207" s="55"/>
    </row>
    <row r="1208" spans="2:2">
      <c r="B1208" s="55"/>
    </row>
    <row r="1209" spans="2:2">
      <c r="B1209" s="55"/>
    </row>
    <row r="1210" spans="2:2">
      <c r="B1210" s="55"/>
    </row>
    <row r="1211" spans="2:2">
      <c r="B1211" s="55"/>
    </row>
    <row r="1212" spans="2:2">
      <c r="B1212" s="55"/>
    </row>
    <row r="1213" spans="2:2">
      <c r="B1213" s="55"/>
    </row>
    <row r="1214" spans="2:2">
      <c r="B1214" s="55"/>
    </row>
    <row r="1215" spans="2:2">
      <c r="B1215" s="55"/>
    </row>
    <row r="1216" spans="2:2">
      <c r="B1216" s="55"/>
    </row>
    <row r="1217" spans="2:2">
      <c r="B1217" s="55"/>
    </row>
    <row r="1218" spans="2:2">
      <c r="B1218" s="55"/>
    </row>
    <row r="1219" spans="2:2">
      <c r="B1219" s="55"/>
    </row>
    <row r="1220" spans="2:2">
      <c r="B1220" s="55"/>
    </row>
    <row r="1221" spans="2:2">
      <c r="B1221" s="55"/>
    </row>
    <row r="1222" spans="2:2">
      <c r="B1222" s="55"/>
    </row>
    <row r="1223" spans="2:2">
      <c r="B1223" s="55"/>
    </row>
    <row r="1224" spans="2:2">
      <c r="B1224" s="55"/>
    </row>
    <row r="1225" spans="2:2">
      <c r="B1225" s="55"/>
    </row>
    <row r="1226" spans="2:2">
      <c r="B1226" s="55"/>
    </row>
    <row r="1227" spans="2:2">
      <c r="B1227" s="55"/>
    </row>
    <row r="1228" spans="2:2">
      <c r="B1228" s="55"/>
    </row>
    <row r="1229" spans="2:2">
      <c r="B1229" s="55"/>
    </row>
    <row r="1230" spans="2:2">
      <c r="B1230" s="55"/>
    </row>
    <row r="1231" spans="2:2">
      <c r="B1231" s="55"/>
    </row>
    <row r="1232" spans="2:2">
      <c r="B1232" s="55"/>
    </row>
    <row r="1233" spans="2:2">
      <c r="B1233" s="55"/>
    </row>
    <row r="1234" spans="2:2">
      <c r="B1234" s="55"/>
    </row>
    <row r="1235" spans="2:2">
      <c r="B1235" s="55"/>
    </row>
    <row r="1236" spans="2:2">
      <c r="B1236" s="55"/>
    </row>
    <row r="1237" spans="2:2">
      <c r="B1237" s="55"/>
    </row>
    <row r="1238" spans="2:2">
      <c r="B1238" s="55"/>
    </row>
    <row r="1239" spans="2:2">
      <c r="B1239" s="55"/>
    </row>
    <row r="1240" spans="2:2">
      <c r="B1240" s="55"/>
    </row>
    <row r="1241" spans="2:2">
      <c r="B1241" s="55"/>
    </row>
    <row r="1242" spans="2:2">
      <c r="B1242" s="55"/>
    </row>
    <row r="1243" spans="2:2">
      <c r="B1243" s="55"/>
    </row>
    <row r="1244" spans="2:2">
      <c r="B1244" s="55"/>
    </row>
    <row r="1245" spans="2:2">
      <c r="B1245" s="55"/>
    </row>
    <row r="1246" spans="2:2">
      <c r="B1246" s="55"/>
    </row>
    <row r="1247" spans="2:2">
      <c r="B1247" s="55"/>
    </row>
    <row r="1248" spans="2:2">
      <c r="B1248" s="55"/>
    </row>
    <row r="1249" spans="2:2">
      <c r="B1249" s="55"/>
    </row>
    <row r="1250" spans="2:2">
      <c r="B1250" s="55"/>
    </row>
    <row r="1251" spans="2:2">
      <c r="B1251" s="55"/>
    </row>
    <row r="1252" spans="2:2">
      <c r="B1252" s="55"/>
    </row>
    <row r="1253" spans="2:2">
      <c r="B1253" s="55"/>
    </row>
    <row r="1254" spans="2:2">
      <c r="B1254" s="55"/>
    </row>
    <row r="1255" spans="2:2">
      <c r="B1255" s="55"/>
    </row>
    <row r="1256" spans="2:2">
      <c r="B1256" s="55"/>
    </row>
    <row r="1257" spans="2:2">
      <c r="B1257" s="55"/>
    </row>
    <row r="1258" spans="2:2">
      <c r="B1258" s="55"/>
    </row>
    <row r="1259" spans="2:2">
      <c r="B1259" s="55"/>
    </row>
    <row r="1260" spans="2:2">
      <c r="B1260" s="55"/>
    </row>
    <row r="1261" spans="2:2">
      <c r="B1261" s="55"/>
    </row>
    <row r="1262" spans="2:2">
      <c r="B1262" s="55"/>
    </row>
    <row r="1263" spans="2:2">
      <c r="B1263" s="55"/>
    </row>
    <row r="1264" spans="2:2">
      <c r="B1264" s="55"/>
    </row>
    <row r="1265" spans="2:2">
      <c r="B1265" s="55"/>
    </row>
    <row r="1266" spans="2:2">
      <c r="B1266" s="55"/>
    </row>
    <row r="1267" spans="2:2">
      <c r="B1267" s="55"/>
    </row>
    <row r="1268" spans="2:2">
      <c r="B1268" s="55"/>
    </row>
    <row r="1269" spans="2:2">
      <c r="B1269" s="55"/>
    </row>
    <row r="1270" spans="2:2">
      <c r="B1270" s="55"/>
    </row>
    <row r="1271" spans="2:2">
      <c r="B1271" s="55"/>
    </row>
    <row r="1272" spans="2:2">
      <c r="B1272" s="55"/>
    </row>
    <row r="1273" spans="2:2">
      <c r="B1273" s="55"/>
    </row>
    <row r="1274" spans="2:2">
      <c r="B1274" s="55"/>
    </row>
    <row r="1275" spans="2:2">
      <c r="B1275" s="55"/>
    </row>
    <row r="1276" spans="2:2">
      <c r="B1276" s="55"/>
    </row>
    <row r="1277" spans="2:2">
      <c r="B1277" s="55"/>
    </row>
    <row r="1278" spans="2:2">
      <c r="B1278" s="55"/>
    </row>
    <row r="1279" spans="2:2">
      <c r="B1279" s="55"/>
    </row>
    <row r="1280" spans="2:2">
      <c r="B1280" s="55"/>
    </row>
    <row r="1281" spans="2:2">
      <c r="B1281" s="55"/>
    </row>
    <row r="1282" spans="2:2">
      <c r="B1282" s="55"/>
    </row>
    <row r="1283" spans="2:2">
      <c r="B1283" s="55"/>
    </row>
    <row r="1284" spans="2:2">
      <c r="B1284" s="55"/>
    </row>
    <row r="1285" spans="2:2">
      <c r="B1285" s="55"/>
    </row>
    <row r="1286" spans="2:2">
      <c r="B1286" s="55"/>
    </row>
    <row r="1287" spans="2:2">
      <c r="B1287" s="55"/>
    </row>
    <row r="1288" spans="2:2">
      <c r="B1288" s="55"/>
    </row>
    <row r="1289" spans="2:2">
      <c r="B1289" s="55"/>
    </row>
    <row r="1290" spans="2:2">
      <c r="B1290" s="55"/>
    </row>
    <row r="1291" spans="2:2">
      <c r="B1291" s="55"/>
    </row>
    <row r="1292" spans="2:2">
      <c r="B1292" s="55"/>
    </row>
    <row r="1293" spans="2:2">
      <c r="B1293" s="55"/>
    </row>
    <row r="1294" spans="2:2">
      <c r="B1294" s="55"/>
    </row>
    <row r="1295" spans="2:2">
      <c r="B1295" s="55"/>
    </row>
    <row r="1296" spans="2:2">
      <c r="B1296" s="55"/>
    </row>
    <row r="1297" spans="2:2">
      <c r="B1297" s="55"/>
    </row>
    <row r="1298" spans="2:2">
      <c r="B1298" s="55"/>
    </row>
    <row r="1299" spans="2:2">
      <c r="B1299" s="55"/>
    </row>
    <row r="1300" spans="2:2">
      <c r="B1300" s="55"/>
    </row>
    <row r="1301" spans="2:2">
      <c r="B1301" s="55"/>
    </row>
    <row r="1302" spans="2:2">
      <c r="B1302" s="55"/>
    </row>
    <row r="1303" spans="2:2">
      <c r="B1303" s="55"/>
    </row>
    <row r="1304" spans="2:2">
      <c r="B1304" s="55"/>
    </row>
    <row r="1305" spans="2:2">
      <c r="B1305" s="55"/>
    </row>
    <row r="1306" spans="2:2">
      <c r="B1306" s="55"/>
    </row>
    <row r="1307" spans="2:2">
      <c r="B1307" s="55"/>
    </row>
    <row r="1308" spans="2:2">
      <c r="B1308" s="55"/>
    </row>
    <row r="1309" spans="2:2">
      <c r="B1309" s="55"/>
    </row>
    <row r="1310" spans="2:2">
      <c r="B1310" s="55"/>
    </row>
    <row r="1311" spans="2:2">
      <c r="B1311" s="55"/>
    </row>
    <row r="1312" spans="2:2">
      <c r="B1312" s="55"/>
    </row>
    <row r="1313" spans="2:2">
      <c r="B1313" s="55"/>
    </row>
    <row r="1314" spans="2:2">
      <c r="B1314" s="55"/>
    </row>
    <row r="1315" spans="2:2">
      <c r="B1315" s="55"/>
    </row>
    <row r="1316" spans="2:2">
      <c r="B1316" s="55"/>
    </row>
    <row r="1317" spans="2:2">
      <c r="B1317" s="55"/>
    </row>
    <row r="1318" spans="2:2">
      <c r="B1318" s="55"/>
    </row>
    <row r="1319" spans="2:2">
      <c r="B1319" s="55"/>
    </row>
    <row r="1320" spans="2:2">
      <c r="B1320" s="55"/>
    </row>
    <row r="1321" spans="2:2">
      <c r="B1321" s="55"/>
    </row>
    <row r="1322" spans="2:2">
      <c r="B1322" s="55"/>
    </row>
    <row r="1323" spans="2:2">
      <c r="B1323" s="55"/>
    </row>
    <row r="1324" spans="2:2">
      <c r="B1324" s="55"/>
    </row>
    <row r="1325" spans="2:2">
      <c r="B1325" s="55"/>
    </row>
    <row r="1326" spans="2:2">
      <c r="B1326" s="55"/>
    </row>
    <row r="1327" spans="2:2">
      <c r="B1327" s="55"/>
    </row>
    <row r="1328" spans="2:2">
      <c r="B1328" s="55"/>
    </row>
    <row r="1329" spans="2:2">
      <c r="B1329" s="55"/>
    </row>
    <row r="1330" spans="2:2">
      <c r="B1330" s="55"/>
    </row>
    <row r="1331" spans="2:2">
      <c r="B1331" s="55"/>
    </row>
    <row r="1332" spans="2:2">
      <c r="B1332" s="55"/>
    </row>
    <row r="1333" spans="2:2">
      <c r="B1333" s="55"/>
    </row>
    <row r="1334" spans="2:2">
      <c r="B1334" s="55"/>
    </row>
    <row r="1335" spans="2:2">
      <c r="B1335" s="55"/>
    </row>
    <row r="1336" spans="2:2">
      <c r="B1336" s="55"/>
    </row>
    <row r="1337" spans="2:2">
      <c r="B1337" s="55"/>
    </row>
    <row r="1338" spans="2:2">
      <c r="B1338" s="55"/>
    </row>
    <row r="1339" spans="2:2">
      <c r="B1339" s="55"/>
    </row>
    <row r="1340" spans="2:2">
      <c r="B1340" s="55"/>
    </row>
    <row r="1341" spans="2:2">
      <c r="B1341" s="55"/>
    </row>
    <row r="1342" spans="2:2">
      <c r="B1342" s="55"/>
    </row>
    <row r="1343" spans="2:2">
      <c r="B1343" s="55"/>
    </row>
    <row r="1344" spans="2:2">
      <c r="B1344" s="55"/>
    </row>
    <row r="1345" spans="2:2">
      <c r="B1345" s="55"/>
    </row>
    <row r="1346" spans="2:2">
      <c r="B1346" s="55"/>
    </row>
    <row r="1347" spans="2:2">
      <c r="B1347" s="55"/>
    </row>
    <row r="1348" spans="2:2">
      <c r="B1348" s="55"/>
    </row>
    <row r="1349" spans="2:2">
      <c r="B1349" s="55"/>
    </row>
    <row r="1350" spans="2:2">
      <c r="B1350" s="55"/>
    </row>
    <row r="1351" spans="2:2">
      <c r="B1351" s="55"/>
    </row>
    <row r="1352" spans="2:2">
      <c r="B1352" s="55"/>
    </row>
    <row r="1353" spans="2:2">
      <c r="B1353" s="55"/>
    </row>
    <row r="1354" spans="2:2">
      <c r="B1354" s="55"/>
    </row>
    <row r="1355" spans="2:2">
      <c r="B1355" s="55"/>
    </row>
    <row r="1356" spans="2:2">
      <c r="B1356" s="55"/>
    </row>
    <row r="1357" spans="2:2">
      <c r="B1357" s="55"/>
    </row>
    <row r="1358" spans="2:2">
      <c r="B1358" s="55"/>
    </row>
    <row r="1359" spans="2:2">
      <c r="B1359" s="55"/>
    </row>
    <row r="1360" spans="2:2">
      <c r="B1360" s="55"/>
    </row>
    <row r="1361" spans="2:2">
      <c r="B1361" s="55"/>
    </row>
    <row r="1362" spans="2:2">
      <c r="B1362" s="55"/>
    </row>
    <row r="1363" spans="2:2">
      <c r="B1363" s="55"/>
    </row>
    <row r="1364" spans="2:2">
      <c r="B1364" s="55"/>
    </row>
    <row r="1365" spans="2:2">
      <c r="B1365" s="55"/>
    </row>
    <row r="1366" spans="2:2">
      <c r="B1366" s="55"/>
    </row>
    <row r="1367" spans="2:2">
      <c r="B1367" s="55"/>
    </row>
    <row r="1368" spans="2:2">
      <c r="B1368" s="55"/>
    </row>
    <row r="1369" spans="2:2">
      <c r="B1369" s="55"/>
    </row>
    <row r="1370" spans="2:2">
      <c r="B1370" s="55"/>
    </row>
    <row r="1371" spans="2:2">
      <c r="B1371" s="55"/>
    </row>
    <row r="1372" spans="2:2">
      <c r="B1372" s="55"/>
    </row>
    <row r="1373" spans="2:2">
      <c r="B1373" s="55"/>
    </row>
    <row r="1374" spans="2:2">
      <c r="B1374" s="55"/>
    </row>
    <row r="1375" spans="2:2">
      <c r="B1375" s="55"/>
    </row>
    <row r="1376" spans="2:2">
      <c r="B1376" s="55"/>
    </row>
    <row r="1377" spans="2:2">
      <c r="B1377" s="55"/>
    </row>
    <row r="1378" spans="2:2">
      <c r="B1378" s="55"/>
    </row>
    <row r="1379" spans="2:2">
      <c r="B1379" s="55"/>
    </row>
    <row r="1380" spans="2:2">
      <c r="B1380" s="55"/>
    </row>
    <row r="1381" spans="2:2">
      <c r="B1381" s="55"/>
    </row>
    <row r="1382" spans="2:2">
      <c r="B1382" s="55"/>
    </row>
    <row r="1383" spans="2:2">
      <c r="B1383" s="55"/>
    </row>
    <row r="1384" spans="2:2">
      <c r="B1384" s="55"/>
    </row>
    <row r="1385" spans="2:2">
      <c r="B1385" s="55"/>
    </row>
    <row r="1386" spans="2:2">
      <c r="B1386" s="55"/>
    </row>
    <row r="1387" spans="2:2">
      <c r="B1387" s="55"/>
    </row>
    <row r="1388" spans="2:2">
      <c r="B1388" s="55"/>
    </row>
    <row r="1389" spans="2:2">
      <c r="B1389" s="55"/>
    </row>
    <row r="1390" spans="2:2">
      <c r="B1390" s="55"/>
    </row>
    <row r="1391" spans="2:2">
      <c r="B1391" s="55"/>
    </row>
    <row r="1392" spans="2:2">
      <c r="B1392" s="55"/>
    </row>
    <row r="1393" spans="2:2">
      <c r="B1393" s="55"/>
    </row>
    <row r="1394" spans="2:2">
      <c r="B1394" s="55"/>
    </row>
    <row r="1395" spans="2:2">
      <c r="B1395" s="55"/>
    </row>
    <row r="1396" spans="2:2">
      <c r="B1396" s="55"/>
    </row>
    <row r="1397" spans="2:2">
      <c r="B1397" s="55"/>
    </row>
    <row r="1398" spans="2:2">
      <c r="B1398" s="55"/>
    </row>
    <row r="1399" spans="2:2">
      <c r="B1399" s="55"/>
    </row>
    <row r="1400" spans="2:2">
      <c r="B1400" s="55"/>
    </row>
    <row r="1401" spans="2:2">
      <c r="B1401" s="55"/>
    </row>
    <row r="1402" spans="2:2">
      <c r="B1402" s="55"/>
    </row>
    <row r="1403" spans="2:2">
      <c r="B1403" s="55"/>
    </row>
    <row r="1404" spans="2:2">
      <c r="B1404" s="55"/>
    </row>
    <row r="1405" spans="2:2">
      <c r="B1405" s="55"/>
    </row>
    <row r="1406" spans="2:2">
      <c r="B1406" s="55"/>
    </row>
    <row r="1407" spans="2:2">
      <c r="B1407" s="55"/>
    </row>
    <row r="1408" spans="2:2">
      <c r="B1408" s="55"/>
    </row>
    <row r="1409" spans="2:2">
      <c r="B1409" s="55"/>
    </row>
    <row r="1410" spans="2:2">
      <c r="B1410" s="55"/>
    </row>
    <row r="1411" spans="2:2">
      <c r="B1411" s="55"/>
    </row>
    <row r="1412" spans="2:2">
      <c r="B1412" s="55"/>
    </row>
    <row r="1413" spans="2:2">
      <c r="B1413" s="55"/>
    </row>
    <row r="1414" spans="2:2">
      <c r="B1414" s="55"/>
    </row>
    <row r="1415" spans="2:2">
      <c r="B1415" s="55"/>
    </row>
    <row r="1416" spans="2:2">
      <c r="B1416" s="55"/>
    </row>
    <row r="1417" spans="2:2">
      <c r="B1417" s="55"/>
    </row>
    <row r="1418" spans="2:2">
      <c r="B1418" s="55"/>
    </row>
    <row r="1419" spans="2:2">
      <c r="B1419" s="55"/>
    </row>
    <row r="1420" spans="2:2">
      <c r="B1420" s="55"/>
    </row>
    <row r="1421" spans="2:2">
      <c r="B1421" s="55"/>
    </row>
    <row r="1422" spans="2:2">
      <c r="B1422" s="55"/>
    </row>
    <row r="1423" spans="2:2">
      <c r="B1423" s="55"/>
    </row>
    <row r="1424" spans="2:2">
      <c r="B1424" s="55"/>
    </row>
    <row r="1425" spans="2:2">
      <c r="B1425" s="55"/>
    </row>
    <row r="1426" spans="2:2">
      <c r="B1426" s="55"/>
    </row>
    <row r="1427" spans="2:2">
      <c r="B1427" s="55"/>
    </row>
    <row r="1428" spans="2:2">
      <c r="B1428" s="55"/>
    </row>
    <row r="1429" spans="2:2">
      <c r="B1429" s="55"/>
    </row>
    <row r="1430" spans="2:2">
      <c r="B1430" s="55"/>
    </row>
    <row r="1431" spans="2:2">
      <c r="B1431" s="55"/>
    </row>
    <row r="1432" spans="2:2">
      <c r="B1432" s="55"/>
    </row>
    <row r="1433" spans="2:2">
      <c r="B1433" s="55"/>
    </row>
    <row r="1434" spans="2:2">
      <c r="B1434" s="55"/>
    </row>
    <row r="1435" spans="2:2">
      <c r="B1435" s="55"/>
    </row>
    <row r="1436" spans="2:2">
      <c r="B1436" s="55"/>
    </row>
    <row r="1437" spans="2:2">
      <c r="B1437" s="55"/>
    </row>
    <row r="1438" spans="2:2">
      <c r="B1438" s="55"/>
    </row>
    <row r="1439" spans="2:2">
      <c r="B1439" s="55"/>
    </row>
    <row r="1440" spans="2:2">
      <c r="B1440" s="55"/>
    </row>
    <row r="1441" spans="2:2">
      <c r="B1441" s="55"/>
    </row>
    <row r="1442" spans="2:2">
      <c r="B1442" s="55"/>
    </row>
    <row r="1443" spans="2:2">
      <c r="B1443" s="55"/>
    </row>
    <row r="1444" spans="2:2">
      <c r="B1444" s="55"/>
    </row>
    <row r="1445" spans="2:2">
      <c r="B1445" s="55"/>
    </row>
    <row r="1446" spans="2:2">
      <c r="B1446" s="55"/>
    </row>
    <row r="1447" spans="2:2">
      <c r="B1447" s="55"/>
    </row>
    <row r="1448" spans="2:2">
      <c r="B1448" s="55"/>
    </row>
    <row r="1449" spans="2:2">
      <c r="B1449" s="55"/>
    </row>
    <row r="1450" spans="2:2">
      <c r="B1450" s="55"/>
    </row>
    <row r="1451" spans="2:2">
      <c r="B1451" s="55"/>
    </row>
    <row r="1452" spans="2:2">
      <c r="B1452" s="55"/>
    </row>
    <row r="1453" spans="2:2">
      <c r="B1453" s="55"/>
    </row>
    <row r="1454" spans="2:2">
      <c r="B1454" s="55"/>
    </row>
    <row r="1455" spans="2:2">
      <c r="B1455" s="55"/>
    </row>
    <row r="1456" spans="2:2">
      <c r="B1456" s="55"/>
    </row>
    <row r="1457" spans="2:2">
      <c r="B1457" s="55"/>
    </row>
    <row r="1458" spans="2:2">
      <c r="B1458" s="55"/>
    </row>
    <row r="1459" spans="2:2">
      <c r="B1459" s="55"/>
    </row>
    <row r="1460" spans="2:2">
      <c r="B1460" s="55"/>
    </row>
    <row r="1461" spans="2:2">
      <c r="B1461" s="55"/>
    </row>
    <row r="1462" spans="2:2">
      <c r="B1462" s="55"/>
    </row>
    <row r="1463" spans="2:2">
      <c r="B1463" s="55"/>
    </row>
    <row r="1464" spans="2:2">
      <c r="B1464" s="55"/>
    </row>
    <row r="1465" spans="2:2">
      <c r="B1465" s="55"/>
    </row>
    <row r="1466" spans="2:2">
      <c r="B1466" s="55"/>
    </row>
    <row r="1467" spans="2:2">
      <c r="B1467" s="55"/>
    </row>
    <row r="1468" spans="2:2">
      <c r="B1468" s="55"/>
    </row>
    <row r="1469" spans="2:2">
      <c r="B1469" s="55"/>
    </row>
    <row r="1470" spans="2:2">
      <c r="B1470" s="55"/>
    </row>
    <row r="1471" spans="2:2">
      <c r="B1471" s="55"/>
    </row>
    <row r="1472" spans="2:2">
      <c r="B1472" s="55"/>
    </row>
    <row r="1473" spans="2:2">
      <c r="B1473" s="55"/>
    </row>
    <row r="1474" spans="2:2">
      <c r="B1474" s="55"/>
    </row>
    <row r="1475" spans="2:2">
      <c r="B1475" s="55"/>
    </row>
    <row r="1476" spans="2:2">
      <c r="B1476" s="55"/>
    </row>
    <row r="1477" spans="2:2">
      <c r="B1477" s="55"/>
    </row>
    <row r="1478" spans="2:2">
      <c r="B1478" s="55"/>
    </row>
    <row r="1479" spans="2:2">
      <c r="B1479" s="55"/>
    </row>
    <row r="1480" spans="2:2">
      <c r="B1480" s="55"/>
    </row>
    <row r="1481" spans="2:2">
      <c r="B1481" s="55"/>
    </row>
    <row r="1482" spans="2:2">
      <c r="B1482" s="55"/>
    </row>
    <row r="1483" spans="2:2">
      <c r="B1483" s="55"/>
    </row>
    <row r="1484" spans="2:2">
      <c r="B1484" s="55"/>
    </row>
    <row r="1485" spans="2:2">
      <c r="B1485" s="55"/>
    </row>
    <row r="1486" spans="2:2">
      <c r="B1486" s="55"/>
    </row>
    <row r="1487" spans="2:2">
      <c r="B1487" s="55"/>
    </row>
    <row r="1488" spans="2:2">
      <c r="B1488" s="55"/>
    </row>
    <row r="1489" spans="2:2">
      <c r="B1489" s="55"/>
    </row>
    <row r="1490" spans="2:2">
      <c r="B1490" s="55"/>
    </row>
    <row r="1491" spans="2:2">
      <c r="B1491" s="55"/>
    </row>
    <row r="1492" spans="2:2">
      <c r="B1492" s="55"/>
    </row>
    <row r="1493" spans="2:2">
      <c r="B1493" s="55"/>
    </row>
    <row r="1494" spans="2:2">
      <c r="B1494" s="55"/>
    </row>
    <row r="1495" spans="2:2">
      <c r="B1495" s="55"/>
    </row>
    <row r="1496" spans="2:2">
      <c r="B1496" s="55"/>
    </row>
    <row r="1497" spans="2:2">
      <c r="B1497" s="55"/>
    </row>
    <row r="1498" spans="2:2">
      <c r="B1498" s="55"/>
    </row>
    <row r="1499" spans="2:2">
      <c r="B1499" s="55"/>
    </row>
    <row r="1500" spans="2:2">
      <c r="B1500" s="55"/>
    </row>
    <row r="1501" spans="2:2">
      <c r="B1501" s="55"/>
    </row>
    <row r="1502" spans="2:2">
      <c r="B1502" s="55"/>
    </row>
    <row r="1503" spans="2:2">
      <c r="B1503" s="55"/>
    </row>
    <row r="1504" spans="2:2">
      <c r="B1504" s="55"/>
    </row>
    <row r="1505" spans="2:2">
      <c r="B1505" s="55"/>
    </row>
    <row r="1506" spans="2:2">
      <c r="B1506" s="55"/>
    </row>
    <row r="1507" spans="2:2">
      <c r="B1507" s="55"/>
    </row>
    <row r="1508" spans="2:2">
      <c r="B1508" s="55"/>
    </row>
    <row r="1509" spans="2:2">
      <c r="B1509" s="55"/>
    </row>
    <row r="1510" spans="2:2">
      <c r="B1510" s="55"/>
    </row>
    <row r="1511" spans="2:2">
      <c r="B1511" s="55"/>
    </row>
    <row r="1512" spans="2:2">
      <c r="B1512" s="55"/>
    </row>
    <row r="1513" spans="2:2">
      <c r="B1513" s="55"/>
    </row>
    <row r="1514" spans="2:2">
      <c r="B1514" s="55"/>
    </row>
    <row r="1515" spans="2:2">
      <c r="B1515" s="55"/>
    </row>
    <row r="1516" spans="2:2">
      <c r="B1516" s="55"/>
    </row>
    <row r="1517" spans="2:2">
      <c r="B1517" s="55"/>
    </row>
    <row r="1518" spans="2:2">
      <c r="B1518" s="55"/>
    </row>
    <row r="1519" spans="2:2">
      <c r="B1519" s="55"/>
    </row>
    <row r="1520" spans="2:2">
      <c r="B1520" s="55"/>
    </row>
    <row r="1521" spans="2:2">
      <c r="B1521" s="55"/>
    </row>
    <row r="1522" spans="2:2">
      <c r="B1522" s="55"/>
    </row>
    <row r="1523" spans="2:2">
      <c r="B1523" s="55"/>
    </row>
    <row r="1524" spans="2:2">
      <c r="B1524" s="55"/>
    </row>
    <row r="1525" spans="2:2">
      <c r="B1525" s="55"/>
    </row>
    <row r="1526" spans="2:2">
      <c r="B1526" s="55"/>
    </row>
    <row r="1527" spans="2:2">
      <c r="B1527" s="55"/>
    </row>
    <row r="1528" spans="2:2">
      <c r="B1528" s="55"/>
    </row>
    <row r="1529" spans="2:2">
      <c r="B1529" s="55"/>
    </row>
    <row r="1530" spans="2:2">
      <c r="B1530" s="55"/>
    </row>
    <row r="1531" spans="2:2">
      <c r="B1531" s="55"/>
    </row>
    <row r="1532" spans="2:2">
      <c r="B1532" s="55"/>
    </row>
    <row r="1533" spans="2:2">
      <c r="B1533" s="55"/>
    </row>
    <row r="1534" spans="2:2">
      <c r="B1534" s="55"/>
    </row>
    <row r="1535" spans="2:2">
      <c r="B1535" s="55"/>
    </row>
    <row r="1536" spans="2:2">
      <c r="B1536" s="55"/>
    </row>
    <row r="1537" spans="2:2">
      <c r="B1537" s="55"/>
    </row>
    <row r="1538" spans="2:2">
      <c r="B1538" s="55"/>
    </row>
    <row r="1539" spans="2:2">
      <c r="B1539" s="55"/>
    </row>
    <row r="1540" spans="2:2">
      <c r="B1540" s="55"/>
    </row>
    <row r="1541" spans="2:2">
      <c r="B1541" s="55"/>
    </row>
    <row r="1542" spans="2:2">
      <c r="B1542" s="55"/>
    </row>
    <row r="1543" spans="2:2">
      <c r="B1543" s="55"/>
    </row>
    <row r="1544" spans="2:2">
      <c r="B1544" s="55"/>
    </row>
    <row r="1545" spans="2:2">
      <c r="B1545" s="55"/>
    </row>
    <row r="1546" spans="2:2">
      <c r="B1546" s="55"/>
    </row>
    <row r="1547" spans="2:2">
      <c r="B1547" s="55"/>
    </row>
    <row r="1548" spans="2:2">
      <c r="B1548" s="55"/>
    </row>
    <row r="1549" spans="2:2">
      <c r="B1549" s="55"/>
    </row>
    <row r="1550" spans="2:2">
      <c r="B1550" s="55"/>
    </row>
    <row r="1551" spans="2:2">
      <c r="B1551" s="55"/>
    </row>
    <row r="1552" spans="2:2">
      <c r="B1552" s="55"/>
    </row>
    <row r="1553" spans="2:2">
      <c r="B1553" s="55"/>
    </row>
    <row r="1554" spans="2:2">
      <c r="B1554" s="55"/>
    </row>
    <row r="1555" spans="2:2">
      <c r="B1555" s="55"/>
    </row>
    <row r="1556" spans="2:2">
      <c r="B1556" s="55"/>
    </row>
    <row r="1557" spans="2:2">
      <c r="B1557" s="55"/>
    </row>
    <row r="1558" spans="2:2">
      <c r="B1558" s="55"/>
    </row>
    <row r="1559" spans="2:2">
      <c r="B1559" s="55"/>
    </row>
    <row r="1560" spans="2:2">
      <c r="B1560" s="55"/>
    </row>
    <row r="1561" spans="2:2">
      <c r="B1561" s="55"/>
    </row>
    <row r="1562" spans="2:2">
      <c r="B1562" s="55"/>
    </row>
    <row r="1563" spans="2:2">
      <c r="B1563" s="55"/>
    </row>
    <row r="1564" spans="2:2">
      <c r="B1564" s="55"/>
    </row>
    <row r="1565" spans="2:2">
      <c r="B1565" s="55"/>
    </row>
    <row r="1566" spans="2:2">
      <c r="B1566" s="55"/>
    </row>
    <row r="1567" spans="2:2">
      <c r="B1567" s="55"/>
    </row>
    <row r="1568" spans="2:2">
      <c r="B1568" s="55"/>
    </row>
    <row r="1569" spans="2:2">
      <c r="B1569" s="55"/>
    </row>
    <row r="1570" spans="2:2">
      <c r="B1570" s="55"/>
    </row>
    <row r="1571" spans="2:2">
      <c r="B1571" s="55"/>
    </row>
    <row r="1572" spans="2:2">
      <c r="B1572" s="55"/>
    </row>
    <row r="1573" spans="2:2">
      <c r="B1573" s="55"/>
    </row>
    <row r="1574" spans="2:2">
      <c r="B1574" s="55"/>
    </row>
    <row r="1575" spans="2:2">
      <c r="B1575" s="55"/>
    </row>
    <row r="1576" spans="2:2">
      <c r="B1576" s="55"/>
    </row>
    <row r="1577" spans="2:2">
      <c r="B1577" s="55"/>
    </row>
    <row r="1578" spans="2:2">
      <c r="B1578" s="55"/>
    </row>
    <row r="1579" spans="2:2">
      <c r="B1579" s="55"/>
    </row>
    <row r="1580" spans="2:2">
      <c r="B1580" s="55"/>
    </row>
    <row r="1581" spans="2:2">
      <c r="B1581" s="55"/>
    </row>
    <row r="1582" spans="2:2">
      <c r="B1582" s="55"/>
    </row>
    <row r="1583" spans="2:2">
      <c r="B1583" s="55"/>
    </row>
    <row r="1584" spans="2:2">
      <c r="B1584" s="55"/>
    </row>
    <row r="1585" spans="2:2">
      <c r="B1585" s="55"/>
    </row>
    <row r="1586" spans="2:2">
      <c r="B1586" s="55"/>
    </row>
    <row r="1587" spans="2:2">
      <c r="B1587" s="55"/>
    </row>
    <row r="1588" spans="2:2">
      <c r="B1588" s="55"/>
    </row>
    <row r="1589" spans="2:2">
      <c r="B1589" s="55"/>
    </row>
    <row r="1590" spans="2:2">
      <c r="B1590" s="55"/>
    </row>
    <row r="1591" spans="2:2">
      <c r="B1591" s="55"/>
    </row>
    <row r="1592" spans="2:2">
      <c r="B1592" s="55"/>
    </row>
    <row r="1593" spans="2:2">
      <c r="B1593" s="55"/>
    </row>
    <row r="1594" spans="2:2">
      <c r="B1594" s="55"/>
    </row>
    <row r="1595" spans="2:2">
      <c r="B1595" s="55"/>
    </row>
    <row r="1596" spans="2:2">
      <c r="B1596" s="55"/>
    </row>
    <row r="1597" spans="2:2">
      <c r="B1597" s="55"/>
    </row>
    <row r="1598" spans="2:2">
      <c r="B1598" s="55"/>
    </row>
    <row r="1599" spans="2:2">
      <c r="B1599" s="55"/>
    </row>
    <row r="1600" spans="2:2">
      <c r="B1600" s="55"/>
    </row>
    <row r="1601" spans="2:2">
      <c r="B1601" s="55"/>
    </row>
    <row r="1602" spans="2:2">
      <c r="B1602" s="55"/>
    </row>
    <row r="1603" spans="2:2">
      <c r="B1603" s="55"/>
    </row>
    <row r="1604" spans="2:2">
      <c r="B1604" s="55"/>
    </row>
    <row r="1605" spans="2:2">
      <c r="B1605" s="55"/>
    </row>
    <row r="1606" spans="2:2">
      <c r="B1606" s="55"/>
    </row>
    <row r="1607" spans="2:2">
      <c r="B1607" s="55"/>
    </row>
    <row r="1608" spans="2:2">
      <c r="B1608" s="55"/>
    </row>
    <row r="1609" spans="2:2">
      <c r="B1609" s="55"/>
    </row>
    <row r="1610" spans="2:2">
      <c r="B1610" s="55"/>
    </row>
    <row r="1611" spans="2:2">
      <c r="B1611" s="55"/>
    </row>
    <row r="1612" spans="2:2">
      <c r="B1612" s="55"/>
    </row>
    <row r="1613" spans="2:2">
      <c r="B1613" s="55"/>
    </row>
    <row r="1614" spans="2:2">
      <c r="B1614" s="55"/>
    </row>
    <row r="1615" spans="2:2">
      <c r="B1615" s="55"/>
    </row>
    <row r="1616" spans="2:2">
      <c r="B1616" s="55"/>
    </row>
    <row r="1617" spans="2:2">
      <c r="B1617" s="55"/>
    </row>
    <row r="1618" spans="2:2">
      <c r="B1618" s="55"/>
    </row>
    <row r="1619" spans="2:2">
      <c r="B1619" s="55"/>
    </row>
    <row r="1620" spans="2:2">
      <c r="B1620" s="55"/>
    </row>
    <row r="1621" spans="2:2">
      <c r="B1621" s="55"/>
    </row>
    <row r="1622" spans="2:2">
      <c r="B1622" s="55"/>
    </row>
    <row r="1623" spans="2:2">
      <c r="B1623" s="55"/>
    </row>
    <row r="1624" spans="2:2">
      <c r="B1624" s="55"/>
    </row>
    <row r="1625" spans="2:2">
      <c r="B1625" s="55"/>
    </row>
    <row r="1626" spans="2:2">
      <c r="B1626" s="55"/>
    </row>
    <row r="1627" spans="2:2">
      <c r="B1627" s="55"/>
    </row>
    <row r="1628" spans="2:2">
      <c r="B1628" s="55"/>
    </row>
    <row r="1629" spans="2:2">
      <c r="B1629" s="55"/>
    </row>
    <row r="1630" spans="2:2">
      <c r="B1630" s="55"/>
    </row>
    <row r="1631" spans="2:2">
      <c r="B1631" s="55"/>
    </row>
    <row r="1632" spans="2:2">
      <c r="B1632" s="55"/>
    </row>
    <row r="1633" spans="2:2">
      <c r="B1633" s="55"/>
    </row>
    <row r="1634" spans="2:2">
      <c r="B1634" s="55"/>
    </row>
    <row r="1635" spans="2:2">
      <c r="B1635" s="55"/>
    </row>
    <row r="1636" spans="2:2">
      <c r="B1636" s="55"/>
    </row>
    <row r="1637" spans="2:2">
      <c r="B1637" s="55"/>
    </row>
    <row r="1638" spans="2:2">
      <c r="B1638" s="55"/>
    </row>
    <row r="1639" spans="2:2">
      <c r="B1639" s="55"/>
    </row>
    <row r="1640" spans="2:2">
      <c r="B1640" s="55"/>
    </row>
    <row r="1641" spans="2:2">
      <c r="B1641" s="55"/>
    </row>
    <row r="1642" spans="2:2">
      <c r="B1642" s="55"/>
    </row>
    <row r="1643" spans="2:2">
      <c r="B1643" s="55"/>
    </row>
    <row r="1644" spans="2:2">
      <c r="B1644" s="55"/>
    </row>
    <row r="1645" spans="2:2">
      <c r="B1645" s="55"/>
    </row>
    <row r="1646" spans="2:2">
      <c r="B1646" s="55"/>
    </row>
    <row r="1647" spans="2:2">
      <c r="B1647" s="55"/>
    </row>
    <row r="1648" spans="2:2">
      <c r="B1648" s="55"/>
    </row>
    <row r="1649" spans="2:2">
      <c r="B1649" s="55"/>
    </row>
    <row r="1650" spans="2:2">
      <c r="B1650" s="55"/>
    </row>
    <row r="1651" spans="2:2">
      <c r="B1651" s="55"/>
    </row>
    <row r="1652" spans="2:2">
      <c r="B1652" s="55"/>
    </row>
    <row r="1653" spans="2:2">
      <c r="B1653" s="55"/>
    </row>
    <row r="1654" spans="2:2">
      <c r="B1654" s="55"/>
    </row>
    <row r="1655" spans="2:2">
      <c r="B1655" s="55"/>
    </row>
    <row r="1656" spans="2:2">
      <c r="B1656" s="55"/>
    </row>
    <row r="1657" spans="2:2">
      <c r="B1657" s="55"/>
    </row>
    <row r="1658" spans="2:2">
      <c r="B1658" s="55"/>
    </row>
    <row r="1659" spans="2:2">
      <c r="B1659" s="55"/>
    </row>
    <row r="1660" spans="2:2">
      <c r="B1660" s="55"/>
    </row>
    <row r="1661" spans="2:2">
      <c r="B1661" s="55"/>
    </row>
    <row r="1662" spans="2:2">
      <c r="B1662" s="55"/>
    </row>
    <row r="1663" spans="2:2">
      <c r="B1663" s="55"/>
    </row>
    <row r="1664" spans="2:2">
      <c r="B1664" s="55"/>
    </row>
    <row r="1665" spans="2:2">
      <c r="B1665" s="55"/>
    </row>
    <row r="1666" spans="2:2">
      <c r="B1666" s="55"/>
    </row>
    <row r="1667" spans="2:2">
      <c r="B1667" s="55"/>
    </row>
    <row r="1668" spans="2:2">
      <c r="B1668" s="55"/>
    </row>
    <row r="1669" spans="2:2">
      <c r="B1669" s="55"/>
    </row>
    <row r="1670" spans="2:2">
      <c r="B1670" s="55"/>
    </row>
    <row r="1671" spans="2:2">
      <c r="B1671" s="55"/>
    </row>
    <row r="1672" spans="2:2">
      <c r="B1672" s="55"/>
    </row>
    <row r="1673" spans="2:2">
      <c r="B1673" s="55"/>
    </row>
    <row r="1674" spans="2:2">
      <c r="B1674" s="55"/>
    </row>
    <row r="1675" spans="2:2">
      <c r="B1675" s="55"/>
    </row>
    <row r="1676" spans="2:2">
      <c r="B1676" s="55"/>
    </row>
    <row r="1677" spans="2:2">
      <c r="B1677" s="55"/>
    </row>
    <row r="1678" spans="2:2">
      <c r="B1678" s="55"/>
    </row>
    <row r="1679" spans="2:2">
      <c r="B1679" s="55"/>
    </row>
    <row r="1680" spans="2:2">
      <c r="B1680" s="55"/>
    </row>
    <row r="1681" spans="2:2">
      <c r="B1681" s="55"/>
    </row>
    <row r="1682" spans="2:2">
      <c r="B1682" s="55"/>
    </row>
    <row r="1683" spans="2:2">
      <c r="B1683" s="55"/>
    </row>
    <row r="1684" spans="2:2">
      <c r="B1684" s="55"/>
    </row>
    <row r="1685" spans="2:2">
      <c r="B1685" s="55"/>
    </row>
    <row r="1686" spans="2:2">
      <c r="B1686" s="55"/>
    </row>
    <row r="1687" spans="2:2">
      <c r="B1687" s="55"/>
    </row>
    <row r="1688" spans="2:2">
      <c r="B1688" s="55"/>
    </row>
    <row r="1689" spans="2:2">
      <c r="B1689" s="55"/>
    </row>
    <row r="1690" spans="2:2">
      <c r="B1690" s="55"/>
    </row>
    <row r="1691" spans="2:2">
      <c r="B1691" s="55"/>
    </row>
    <row r="1692" spans="2:2">
      <c r="B1692" s="55"/>
    </row>
    <row r="1693" spans="2:2">
      <c r="B1693" s="55"/>
    </row>
    <row r="1694" spans="2:2">
      <c r="B1694" s="55"/>
    </row>
    <row r="1695" spans="2:2">
      <c r="B1695" s="55"/>
    </row>
    <row r="1696" spans="2:2">
      <c r="B1696" s="55"/>
    </row>
    <row r="1697" spans="2:2">
      <c r="B1697" s="55"/>
    </row>
    <row r="1698" spans="2:2">
      <c r="B1698" s="55"/>
    </row>
    <row r="1699" spans="2:2">
      <c r="B1699" s="55"/>
    </row>
    <row r="1700" spans="2:2">
      <c r="B1700" s="55"/>
    </row>
    <row r="1701" spans="2:2">
      <c r="B1701" s="55"/>
    </row>
    <row r="1702" spans="2:2">
      <c r="B1702" s="55"/>
    </row>
    <row r="1703" spans="2:2">
      <c r="B1703" s="55"/>
    </row>
    <row r="1704" spans="2:2">
      <c r="B1704" s="55"/>
    </row>
    <row r="1705" spans="2:2">
      <c r="B1705" s="55"/>
    </row>
    <row r="1706" spans="2:2">
      <c r="B1706" s="55"/>
    </row>
    <row r="1707" spans="2:2">
      <c r="B1707" s="55"/>
    </row>
    <row r="1708" spans="2:2">
      <c r="B1708" s="55"/>
    </row>
    <row r="1709" spans="2:2">
      <c r="B1709" s="55"/>
    </row>
    <row r="1710" spans="2:2">
      <c r="B1710" s="55"/>
    </row>
    <row r="1711" spans="2:2">
      <c r="B1711" s="55"/>
    </row>
    <row r="1712" spans="2:2">
      <c r="B1712" s="55"/>
    </row>
    <row r="1713" spans="2:2">
      <c r="B1713" s="55"/>
    </row>
    <row r="1714" spans="2:2">
      <c r="B1714" s="55"/>
    </row>
    <row r="1715" spans="2:2">
      <c r="B1715" s="55"/>
    </row>
    <row r="1716" spans="2:2">
      <c r="B1716" s="55"/>
    </row>
    <row r="1717" spans="2:2">
      <c r="B1717" s="55"/>
    </row>
    <row r="1718" spans="2:2">
      <c r="B1718" s="55"/>
    </row>
    <row r="1719" spans="2:2">
      <c r="B1719" s="55"/>
    </row>
    <row r="1720" spans="2:2">
      <c r="B1720" s="55"/>
    </row>
    <row r="1721" spans="2:2">
      <c r="B1721" s="55"/>
    </row>
    <row r="1722" spans="2:2">
      <c r="B1722" s="55"/>
    </row>
    <row r="1723" spans="2:2">
      <c r="B1723" s="55"/>
    </row>
    <row r="1724" spans="2:2">
      <c r="B1724" s="55"/>
    </row>
    <row r="1725" spans="2:2">
      <c r="B1725" s="55"/>
    </row>
    <row r="1726" spans="2:2">
      <c r="B1726" s="55"/>
    </row>
    <row r="1727" spans="2:2">
      <c r="B1727" s="55"/>
    </row>
    <row r="1728" spans="2:2">
      <c r="B1728" s="55"/>
    </row>
    <row r="1729" spans="2:2">
      <c r="B1729" s="55"/>
    </row>
    <row r="1730" spans="2:2">
      <c r="B1730" s="55"/>
    </row>
    <row r="1731" spans="2:2">
      <c r="B1731" s="55"/>
    </row>
    <row r="1732" spans="2:2">
      <c r="B1732" s="55"/>
    </row>
    <row r="1733" spans="2:2">
      <c r="B1733" s="55"/>
    </row>
    <row r="1734" spans="2:2">
      <c r="B1734" s="55"/>
    </row>
    <row r="1735" spans="2:2">
      <c r="B1735" s="55"/>
    </row>
    <row r="1736" spans="2:2">
      <c r="B1736" s="55"/>
    </row>
    <row r="1737" spans="2:2">
      <c r="B1737" s="55"/>
    </row>
    <row r="1738" spans="2:2">
      <c r="B1738" s="55"/>
    </row>
    <row r="1739" spans="2:2">
      <c r="B1739" s="55"/>
    </row>
    <row r="1740" spans="2:2">
      <c r="B1740" s="55"/>
    </row>
    <row r="1741" spans="2:2">
      <c r="B1741" s="55"/>
    </row>
    <row r="1742" spans="2:2">
      <c r="B1742" s="55"/>
    </row>
    <row r="1743" spans="2:2">
      <c r="B1743" s="55"/>
    </row>
    <row r="1744" spans="2:2">
      <c r="B1744" s="55"/>
    </row>
    <row r="1745" spans="2:2">
      <c r="B1745" s="55"/>
    </row>
    <row r="1746" spans="2:2">
      <c r="B1746" s="55"/>
    </row>
    <row r="1747" spans="2:2">
      <c r="B1747" s="55"/>
    </row>
    <row r="1748" spans="2:2">
      <c r="B1748" s="55"/>
    </row>
    <row r="1749" spans="2:2">
      <c r="B1749" s="55"/>
    </row>
    <row r="1750" spans="2:2">
      <c r="B1750" s="55"/>
    </row>
    <row r="1751" spans="2:2">
      <c r="B1751" s="55"/>
    </row>
    <row r="1752" spans="2:2">
      <c r="B1752" s="55"/>
    </row>
    <row r="1753" spans="2:2">
      <c r="B1753" s="55"/>
    </row>
    <row r="1754" spans="2:2">
      <c r="B1754" s="55"/>
    </row>
    <row r="1755" spans="2:2">
      <c r="B1755" s="55"/>
    </row>
    <row r="1756" spans="2:2">
      <c r="B1756" s="55"/>
    </row>
    <row r="1757" spans="2:2">
      <c r="B1757" s="55"/>
    </row>
    <row r="1758" spans="2:2">
      <c r="B1758" s="55"/>
    </row>
    <row r="1759" spans="2:2">
      <c r="B1759" s="55"/>
    </row>
    <row r="1760" spans="2:2">
      <c r="B1760" s="55"/>
    </row>
    <row r="1761" spans="2:2">
      <c r="B1761" s="55"/>
    </row>
    <row r="1762" spans="2:2">
      <c r="B1762" s="55"/>
    </row>
    <row r="1763" spans="2:2">
      <c r="B1763" s="55"/>
    </row>
    <row r="1764" spans="2:2">
      <c r="B1764" s="55"/>
    </row>
    <row r="1765" spans="2:2">
      <c r="B1765" s="55"/>
    </row>
    <row r="1766" spans="2:2">
      <c r="B1766" s="55"/>
    </row>
    <row r="1767" spans="2:2">
      <c r="B1767" s="55"/>
    </row>
    <row r="1768" spans="2:2">
      <c r="B1768" s="55"/>
    </row>
    <row r="1769" spans="2:2">
      <c r="B1769" s="54"/>
    </row>
    <row r="1770" spans="2:2">
      <c r="B1770" s="54"/>
    </row>
  </sheetData>
  <autoFilter ref="A1:D1" xr:uid="{00000000-0009-0000-0000-000005000000}">
    <sortState xmlns:xlrd2="http://schemas.microsoft.com/office/spreadsheetml/2017/richdata2" ref="A2:D31">
      <sortCondition descending="1" ref="C1"/>
    </sortState>
  </autoFilter>
  <conditionalFormatting sqref="C501">
    <cfRule type="cellIs" dxfId="115" priority="4" stopIfTrue="1" operator="equal">
      <formula>0</formula>
    </cfRule>
  </conditionalFormatting>
  <conditionalFormatting sqref="D501">
    <cfRule type="cellIs" dxfId="114" priority="3" stopIfTrue="1" operator="equal">
      <formula>0</formula>
    </cfRule>
  </conditionalFormatting>
  <conditionalFormatting sqref="C502">
    <cfRule type="cellIs" dxfId="113" priority="2" stopIfTrue="1" operator="equal">
      <formula>0</formula>
    </cfRule>
  </conditionalFormatting>
  <conditionalFormatting sqref="D502">
    <cfRule type="cellIs" dxfId="112" priority="1" stopIfTrue="1" operator="equal">
      <formula>0</formula>
    </cfRule>
  </conditionalFormatting>
  <pageMargins left="0.7" right="0.7" top="0.75" bottom="0.75" header="0.3" footer="0.3"/>
  <pageSetup scale="90"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K7"/>
  <sheetViews>
    <sheetView workbookViewId="0">
      <selection activeCell="K1" sqref="K1:K1048576"/>
    </sheetView>
  </sheetViews>
  <sheetFormatPr defaultRowHeight="12.75"/>
  <cols>
    <col min="9" max="9" width="10.140625" bestFit="1" customWidth="1"/>
    <col min="11" max="11" width="9.140625" style="86" customWidth="1"/>
  </cols>
  <sheetData>
    <row r="1" spans="1:11">
      <c r="A1" t="s">
        <v>54</v>
      </c>
    </row>
    <row r="2" spans="1:11">
      <c r="A2">
        <v>1</v>
      </c>
      <c r="B2">
        <v>1</v>
      </c>
      <c r="C2">
        <v>1</v>
      </c>
      <c r="D2" s="70" t="s">
        <v>55</v>
      </c>
      <c r="E2" t="s">
        <v>56</v>
      </c>
      <c r="F2" s="70"/>
      <c r="G2" s="70"/>
      <c r="H2" s="70"/>
      <c r="I2" s="85"/>
      <c r="J2" s="70"/>
      <c r="K2" s="86">
        <v>43815.4135185185</v>
      </c>
    </row>
    <row r="3" spans="1:11">
      <c r="A3">
        <v>1</v>
      </c>
      <c r="B3">
        <v>2</v>
      </c>
      <c r="C3">
        <v>2</v>
      </c>
      <c r="D3" s="70" t="s">
        <v>57</v>
      </c>
      <c r="E3" t="s">
        <v>56</v>
      </c>
      <c r="F3" s="70"/>
      <c r="G3" s="70"/>
      <c r="H3" s="70"/>
      <c r="I3" s="85"/>
      <c r="J3" s="70"/>
      <c r="K3" s="86">
        <v>43815.4135185185</v>
      </c>
    </row>
    <row r="4" spans="1:11">
      <c r="A4">
        <v>1</v>
      </c>
      <c r="B4">
        <v>3</v>
      </c>
      <c r="C4">
        <v>3</v>
      </c>
      <c r="D4" s="70" t="s">
        <v>58</v>
      </c>
      <c r="E4" t="s">
        <v>56</v>
      </c>
      <c r="F4" s="70"/>
      <c r="G4" s="70"/>
      <c r="H4" s="70"/>
      <c r="I4" s="85"/>
      <c r="J4" s="70"/>
      <c r="K4" s="86">
        <v>43815.4135185185</v>
      </c>
    </row>
    <row r="5" spans="1:11">
      <c r="A5">
        <v>3</v>
      </c>
      <c r="B5">
        <v>1</v>
      </c>
      <c r="C5">
        <v>1</v>
      </c>
      <c r="D5" s="70" t="s">
        <v>55</v>
      </c>
      <c r="E5" t="s">
        <v>56</v>
      </c>
      <c r="F5" s="70"/>
      <c r="G5" s="70"/>
      <c r="H5" s="70"/>
      <c r="I5" s="86"/>
      <c r="J5" s="70"/>
      <c r="K5" s="86">
        <v>43815.4135185185</v>
      </c>
    </row>
    <row r="6" spans="1:11">
      <c r="A6">
        <v>3</v>
      </c>
      <c r="B6">
        <v>2</v>
      </c>
      <c r="C6">
        <v>2</v>
      </c>
      <c r="D6" s="70" t="s">
        <v>57</v>
      </c>
      <c r="E6" t="s">
        <v>56</v>
      </c>
      <c r="F6" s="70"/>
      <c r="G6" s="70"/>
      <c r="H6" s="70"/>
      <c r="I6" s="86"/>
      <c r="J6" s="70"/>
      <c r="K6" s="86">
        <v>43815.4135185185</v>
      </c>
    </row>
    <row r="7" spans="1:11">
      <c r="A7">
        <v>3</v>
      </c>
      <c r="B7">
        <v>3</v>
      </c>
      <c r="C7">
        <v>3</v>
      </c>
      <c r="D7" t="s">
        <v>58</v>
      </c>
      <c r="E7" t="s">
        <v>56</v>
      </c>
      <c r="K7" s="86">
        <v>43815.4135185185</v>
      </c>
    </row>
  </sheetData>
  <pageMargins left="0.7" right="0.7" top="0.75" bottom="0.75" header="0.3" footer="0.3"/>
  <pageSetup orientation="portrait" horizontalDpi="360" verticalDpi="36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outlinePr summaryBelow="0" summaryRight="0"/>
  </sheetPr>
  <dimension ref="A1:T26"/>
  <sheetViews>
    <sheetView showGridLines="0" zoomScale="70" zoomScaleNormal="70" workbookViewId="0">
      <selection activeCell="E2" sqref="E2"/>
    </sheetView>
  </sheetViews>
  <sheetFormatPr defaultColWidth="9.140625" defaultRowHeight="12.75"/>
  <cols>
    <col min="1" max="1" width="15.28515625" style="7" customWidth="1"/>
    <col min="2" max="2" width="35.140625" style="1" customWidth="1"/>
    <col min="3" max="3" width="20.5703125" style="1" bestFit="1" customWidth="1"/>
    <col min="4" max="4" width="10.42578125" style="1" customWidth="1"/>
    <col min="5" max="5" width="11.28515625" style="1" customWidth="1"/>
    <col min="6" max="6" width="9.28515625" style="1" bestFit="1" customWidth="1"/>
    <col min="7" max="7" width="3.28515625" style="1" customWidth="1"/>
    <col min="8" max="8" width="14.7109375" style="1" customWidth="1"/>
    <col min="9" max="9" width="22.5703125" style="1" customWidth="1"/>
    <col min="10" max="10" width="26.42578125" style="1" customWidth="1"/>
    <col min="11" max="11" width="11.42578125" style="1" customWidth="1"/>
    <col min="12" max="12" width="13.28515625" style="1" customWidth="1"/>
    <col min="13" max="13" width="10.5703125" style="1" customWidth="1"/>
    <col min="14" max="14" width="3.85546875" style="5" bestFit="1" customWidth="1"/>
    <col min="15" max="15" width="17.5703125" style="1" customWidth="1"/>
    <col min="16" max="16" width="20.42578125" style="1" customWidth="1"/>
    <col min="17" max="17" width="25.42578125" style="1" customWidth="1"/>
    <col min="18" max="18" width="11.7109375" style="1" customWidth="1"/>
    <col min="19" max="19" width="12.140625" style="1" customWidth="1"/>
    <col min="20" max="20" width="12.42578125" style="1" customWidth="1"/>
    <col min="21" max="22" width="9.140625" style="1" customWidth="1"/>
    <col min="23" max="16384" width="9.140625" style="1"/>
  </cols>
  <sheetData>
    <row r="1" spans="1:20" ht="15">
      <c r="A1" s="149"/>
      <c r="B1" s="150"/>
      <c r="C1" s="8" t="s">
        <v>59</v>
      </c>
      <c r="D1" s="30" t="s">
        <v>15</v>
      </c>
      <c r="E1" s="30" t="s">
        <v>47</v>
      </c>
      <c r="F1" s="30" t="s">
        <v>19</v>
      </c>
      <c r="G1" s="9"/>
      <c r="H1" s="63"/>
      <c r="I1" s="63"/>
      <c r="J1" s="8" t="s">
        <v>59</v>
      </c>
      <c r="K1" s="64" t="s">
        <v>15</v>
      </c>
      <c r="L1" s="64" t="s">
        <v>47</v>
      </c>
      <c r="M1" s="64" t="s">
        <v>19</v>
      </c>
      <c r="O1" s="63"/>
      <c r="P1" s="63"/>
      <c r="Q1" s="8" t="s">
        <v>59</v>
      </c>
      <c r="R1" s="64" t="s">
        <v>15</v>
      </c>
      <c r="S1" s="64" t="s">
        <v>47</v>
      </c>
      <c r="T1" s="64" t="s">
        <v>19</v>
      </c>
    </row>
    <row r="2" spans="1:20" ht="32.25" customHeight="1">
      <c r="A2" s="151" t="s">
        <v>13</v>
      </c>
      <c r="B2" s="153"/>
      <c r="C2" s="10" t="s">
        <v>60</v>
      </c>
      <c r="D2" s="119"/>
      <c r="E2" s="119"/>
      <c r="F2" s="120"/>
      <c r="G2" s="9"/>
      <c r="H2" s="63"/>
      <c r="I2" s="63"/>
      <c r="J2" s="10" t="s">
        <v>60</v>
      </c>
      <c r="K2" s="119"/>
      <c r="L2" s="119"/>
      <c r="M2" s="120"/>
      <c r="N2" s="6">
        <f>D3+1</f>
        <v>1</v>
      </c>
      <c r="O2" s="63"/>
      <c r="P2" s="63"/>
      <c r="Q2" s="10" t="s">
        <v>60</v>
      </c>
      <c r="R2" s="119"/>
      <c r="S2" s="119"/>
      <c r="T2" s="120"/>
    </row>
    <row r="3" spans="1:20" ht="32.25" customHeight="1">
      <c r="A3" s="152"/>
      <c r="B3" s="154"/>
      <c r="C3" s="11" t="s">
        <v>61</v>
      </c>
      <c r="D3" s="119"/>
      <c r="E3" s="119"/>
      <c r="F3" s="121">
        <f>D3*E3</f>
        <v>0</v>
      </c>
      <c r="G3" s="9"/>
      <c r="H3" s="63"/>
      <c r="I3" s="63"/>
      <c r="J3" s="11" t="s">
        <v>61</v>
      </c>
      <c r="K3" s="119"/>
      <c r="L3" s="119"/>
      <c r="M3" s="121">
        <f>K3*L3</f>
        <v>0</v>
      </c>
      <c r="N3" s="6">
        <f>E3+0.5</f>
        <v>0.5</v>
      </c>
      <c r="O3" s="63"/>
      <c r="P3" s="63"/>
      <c r="Q3" s="11" t="s">
        <v>61</v>
      </c>
      <c r="R3" s="119"/>
      <c r="S3" s="119"/>
      <c r="T3" s="121">
        <f>R3*S3</f>
        <v>0</v>
      </c>
    </row>
    <row r="4" spans="1:20" ht="54.75" customHeight="1">
      <c r="A4" s="12" t="s">
        <v>14</v>
      </c>
      <c r="B4" s="82"/>
      <c r="C4" s="13"/>
      <c r="D4" s="14"/>
      <c r="E4" s="14"/>
      <c r="F4" s="15"/>
      <c r="G4" s="9"/>
      <c r="H4" s="63"/>
      <c r="I4" s="63"/>
      <c r="J4" s="65"/>
      <c r="K4" s="66"/>
      <c r="L4" s="66"/>
      <c r="M4" s="67"/>
      <c r="N4" s="6"/>
      <c r="O4" s="63"/>
      <c r="P4" s="63"/>
      <c r="Q4" s="65"/>
      <c r="R4" s="66"/>
      <c r="S4" s="66"/>
      <c r="T4" s="67"/>
    </row>
    <row r="5" spans="1:20" ht="49.5" customHeight="1">
      <c r="A5" s="16" t="s">
        <v>15</v>
      </c>
      <c r="B5" s="82"/>
      <c r="C5" s="17"/>
      <c r="D5" s="88">
        <f>D2+1</f>
        <v>1</v>
      </c>
      <c r="E5" s="88">
        <f>D3+1</f>
        <v>1</v>
      </c>
      <c r="F5" s="18"/>
      <c r="G5" s="9"/>
      <c r="H5" s="63"/>
      <c r="I5" s="63"/>
      <c r="J5" s="68"/>
      <c r="K5" s="88">
        <f>K2+1</f>
        <v>1</v>
      </c>
      <c r="L5" s="88">
        <f>K3+1</f>
        <v>1</v>
      </c>
      <c r="M5" s="18"/>
      <c r="O5" s="63"/>
      <c r="P5" s="63"/>
      <c r="Q5" s="68"/>
      <c r="R5" s="88">
        <f>R2+1</f>
        <v>1</v>
      </c>
      <c r="S5" s="88">
        <f>R3+1</f>
        <v>1</v>
      </c>
      <c r="T5" s="18"/>
    </row>
    <row r="6" spans="1:20" ht="63" customHeight="1">
      <c r="A6" s="16" t="s">
        <v>16</v>
      </c>
      <c r="B6" s="83"/>
      <c r="C6" s="19"/>
      <c r="D6" s="88">
        <f>E2+0.5</f>
        <v>0.5</v>
      </c>
      <c r="E6" s="88">
        <f>E3+0.5</f>
        <v>0.5</v>
      </c>
      <c r="F6" s="20"/>
      <c r="G6" s="9"/>
      <c r="H6" s="63"/>
      <c r="I6" s="63"/>
      <c r="J6" s="69"/>
      <c r="K6" s="88">
        <f>L2+0.5</f>
        <v>0.5</v>
      </c>
      <c r="L6" s="88">
        <f>L3+0.5</f>
        <v>0.5</v>
      </c>
      <c r="M6" s="20"/>
      <c r="O6" s="63"/>
      <c r="P6" s="63"/>
      <c r="Q6" s="69"/>
      <c r="R6" s="88">
        <f>S2+0.5</f>
        <v>0.5</v>
      </c>
      <c r="S6" s="88">
        <f>S3+0.5</f>
        <v>0.5</v>
      </c>
      <c r="T6" s="20"/>
    </row>
    <row r="7" spans="1:20" ht="41.25" customHeight="1">
      <c r="A7" s="58" t="s">
        <v>62</v>
      </c>
      <c r="B7" s="59" t="s">
        <v>12</v>
      </c>
      <c r="C7" s="155" t="s">
        <v>63</v>
      </c>
      <c r="D7" s="156"/>
      <c r="E7" s="157" t="s">
        <v>64</v>
      </c>
      <c r="F7" s="158"/>
      <c r="H7" s="58" t="s">
        <v>62</v>
      </c>
      <c r="I7" s="58" t="s">
        <v>12</v>
      </c>
      <c r="J7" s="155" t="s">
        <v>63</v>
      </c>
      <c r="K7" s="156"/>
      <c r="L7" s="157" t="s">
        <v>64</v>
      </c>
      <c r="M7" s="158"/>
      <c r="O7" s="58" t="s">
        <v>62</v>
      </c>
      <c r="P7" s="58" t="s">
        <v>12</v>
      </c>
      <c r="Q7" s="155" t="s">
        <v>63</v>
      </c>
      <c r="R7" s="156"/>
      <c r="S7" s="157" t="s">
        <v>64</v>
      </c>
      <c r="T7" s="158"/>
    </row>
    <row r="8" spans="1:20" ht="15">
      <c r="A8" s="60"/>
      <c r="B8" s="84"/>
      <c r="C8" s="145"/>
      <c r="D8" s="146"/>
      <c r="E8" s="159"/>
      <c r="F8" s="160"/>
      <c r="H8" s="60"/>
      <c r="I8" s="84"/>
      <c r="J8" s="145"/>
      <c r="K8" s="146"/>
      <c r="L8" s="147"/>
      <c r="M8" s="148"/>
      <c r="O8" s="60"/>
      <c r="P8" s="84"/>
      <c r="Q8" s="145"/>
      <c r="R8" s="146"/>
      <c r="S8" s="147"/>
      <c r="T8" s="148"/>
    </row>
    <row r="9" spans="1:20" ht="30">
      <c r="A9" s="58" t="s">
        <v>65</v>
      </c>
      <c r="B9" s="58"/>
      <c r="C9" s="58" t="s">
        <v>66</v>
      </c>
      <c r="D9" s="61" t="s">
        <v>67</v>
      </c>
      <c r="E9" s="61" t="s">
        <v>63</v>
      </c>
      <c r="F9" s="61" t="s">
        <v>68</v>
      </c>
      <c r="H9" s="58" t="s">
        <v>65</v>
      </c>
      <c r="I9" s="58"/>
      <c r="J9" s="58" t="s">
        <v>66</v>
      </c>
      <c r="K9" s="61" t="s">
        <v>67</v>
      </c>
      <c r="L9" s="61" t="s">
        <v>63</v>
      </c>
      <c r="M9" s="61" t="s">
        <v>68</v>
      </c>
      <c r="O9" s="58" t="s">
        <v>65</v>
      </c>
      <c r="P9" s="58"/>
      <c r="Q9" s="58" t="s">
        <v>66</v>
      </c>
      <c r="R9" s="61" t="s">
        <v>67</v>
      </c>
      <c r="S9" s="61" t="s">
        <v>63</v>
      </c>
      <c r="T9" s="61" t="s">
        <v>68</v>
      </c>
    </row>
    <row r="10" spans="1:20" ht="14.25">
      <c r="A10" s="143"/>
      <c r="B10" s="144"/>
      <c r="C10" s="62"/>
      <c r="D10" s="62"/>
      <c r="E10" s="87"/>
      <c r="F10" s="62"/>
      <c r="H10" s="143"/>
      <c r="I10" s="144"/>
      <c r="J10" s="62"/>
      <c r="K10" s="62"/>
      <c r="L10" s="87"/>
      <c r="M10" s="62"/>
      <c r="O10" s="143"/>
      <c r="P10" s="144"/>
      <c r="Q10" s="62"/>
      <c r="R10" s="62"/>
      <c r="S10" s="87"/>
      <c r="T10" s="62"/>
    </row>
    <row r="11" spans="1:20" ht="14.25">
      <c r="A11" s="143"/>
      <c r="B11" s="144"/>
      <c r="C11" s="62"/>
      <c r="D11" s="62"/>
      <c r="E11" s="87"/>
      <c r="F11" s="62"/>
      <c r="H11" s="143"/>
      <c r="I11" s="144"/>
      <c r="J11" s="62"/>
      <c r="K11" s="62"/>
      <c r="L11" s="87"/>
      <c r="M11" s="62"/>
      <c r="O11" s="143"/>
      <c r="P11" s="144"/>
      <c r="Q11" s="62"/>
      <c r="R11" s="62"/>
      <c r="S11" s="87"/>
      <c r="T11" s="62"/>
    </row>
    <row r="12" spans="1:20" ht="14.25">
      <c r="A12" s="143"/>
      <c r="B12" s="144"/>
      <c r="C12" s="62"/>
      <c r="D12" s="62"/>
      <c r="E12" s="87"/>
      <c r="F12" s="62"/>
      <c r="H12" s="143"/>
      <c r="I12" s="144"/>
      <c r="J12" s="62"/>
      <c r="K12" s="62"/>
      <c r="L12" s="87"/>
      <c r="M12" s="62"/>
      <c r="O12" s="143"/>
      <c r="P12" s="144"/>
      <c r="Q12" s="62"/>
      <c r="R12" s="62"/>
      <c r="S12" s="87"/>
      <c r="T12" s="62"/>
    </row>
    <row r="13" spans="1:20" ht="14.25">
      <c r="A13" s="143"/>
      <c r="B13" s="144"/>
      <c r="C13" s="62"/>
      <c r="D13" s="62"/>
      <c r="E13" s="87"/>
      <c r="F13" s="62"/>
      <c r="H13" s="143"/>
      <c r="I13" s="144"/>
      <c r="J13" s="62"/>
      <c r="K13" s="62"/>
      <c r="L13" s="87"/>
      <c r="M13" s="62"/>
      <c r="O13" s="143"/>
      <c r="P13" s="144"/>
      <c r="Q13" s="62"/>
      <c r="R13" s="62"/>
      <c r="S13" s="87"/>
      <c r="T13" s="62"/>
    </row>
    <row r="14" spans="1:20" ht="14.25">
      <c r="A14" s="143"/>
      <c r="B14" s="144"/>
      <c r="C14" s="62"/>
      <c r="D14" s="62"/>
      <c r="E14" s="87"/>
      <c r="F14" s="62"/>
      <c r="H14" s="143"/>
      <c r="I14" s="144"/>
      <c r="J14" s="62"/>
      <c r="K14" s="62"/>
      <c r="L14" s="87"/>
      <c r="M14" s="62"/>
      <c r="O14" s="143"/>
      <c r="P14" s="144"/>
      <c r="Q14" s="62"/>
      <c r="R14" s="62"/>
      <c r="S14" s="87"/>
      <c r="T14" s="62"/>
    </row>
    <row r="15" spans="1:20" ht="14.25">
      <c r="A15" s="143"/>
      <c r="B15" s="144"/>
      <c r="C15" s="62"/>
      <c r="D15" s="62"/>
      <c r="E15" s="87"/>
      <c r="F15" s="62"/>
      <c r="H15" s="143"/>
      <c r="I15" s="144"/>
      <c r="J15" s="62"/>
      <c r="K15" s="62"/>
      <c r="L15" s="87"/>
      <c r="M15" s="62"/>
      <c r="O15" s="143"/>
      <c r="P15" s="144"/>
      <c r="Q15" s="62"/>
      <c r="R15" s="62"/>
      <c r="S15" s="87"/>
      <c r="T15" s="62"/>
    </row>
    <row r="16" spans="1:20" ht="14.25">
      <c r="A16" s="143"/>
      <c r="B16" s="144"/>
      <c r="C16" s="62"/>
      <c r="D16" s="62"/>
      <c r="E16" s="87"/>
      <c r="F16" s="62"/>
      <c r="H16" s="143"/>
      <c r="I16" s="144"/>
      <c r="J16" s="62"/>
      <c r="K16" s="62"/>
      <c r="L16" s="87"/>
      <c r="M16" s="62"/>
      <c r="O16" s="143"/>
      <c r="P16" s="144"/>
      <c r="Q16" s="62"/>
      <c r="R16" s="62"/>
      <c r="S16" s="87"/>
      <c r="T16" s="62"/>
    </row>
    <row r="17" spans="1:20" ht="14.25">
      <c r="A17" s="143"/>
      <c r="B17" s="144"/>
      <c r="C17" s="62"/>
      <c r="D17" s="62"/>
      <c r="E17" s="87"/>
      <c r="F17" s="62"/>
      <c r="H17" s="143"/>
      <c r="I17" s="144"/>
      <c r="J17" s="62"/>
      <c r="K17" s="62"/>
      <c r="L17" s="87"/>
      <c r="M17" s="62"/>
      <c r="O17" s="143"/>
      <c r="P17" s="144"/>
      <c r="Q17" s="62"/>
      <c r="R17" s="62"/>
      <c r="S17" s="87"/>
      <c r="T17" s="62"/>
    </row>
    <row r="18" spans="1:20" ht="14.25">
      <c r="A18" s="143"/>
      <c r="B18" s="144"/>
      <c r="C18" s="62"/>
      <c r="D18" s="62"/>
      <c r="E18" s="87"/>
      <c r="F18" s="62"/>
      <c r="H18" s="143"/>
      <c r="I18" s="144"/>
      <c r="J18" s="62"/>
      <c r="K18" s="62"/>
      <c r="L18" s="87"/>
      <c r="M18" s="62"/>
      <c r="O18" s="143"/>
      <c r="P18" s="144"/>
      <c r="Q18" s="62"/>
      <c r="R18" s="62"/>
      <c r="S18" s="87"/>
      <c r="T18" s="62"/>
    </row>
    <row r="19" spans="1:20" ht="14.25">
      <c r="A19" s="143"/>
      <c r="B19" s="144"/>
      <c r="C19" s="62"/>
      <c r="D19" s="62"/>
      <c r="E19" s="87"/>
      <c r="F19" s="62"/>
      <c r="H19" s="143"/>
      <c r="I19" s="144"/>
      <c r="J19" s="62"/>
      <c r="K19" s="62"/>
      <c r="L19" s="87"/>
      <c r="M19" s="62"/>
      <c r="O19" s="143"/>
      <c r="P19" s="144"/>
      <c r="Q19" s="62"/>
      <c r="R19" s="62"/>
      <c r="S19" s="87"/>
      <c r="T19" s="62"/>
    </row>
    <row r="20" spans="1:20" ht="14.25">
      <c r="A20" s="143"/>
      <c r="B20" s="144"/>
      <c r="C20" s="62"/>
      <c r="D20" s="62"/>
      <c r="E20" s="87"/>
      <c r="F20" s="62"/>
      <c r="H20" s="143"/>
      <c r="I20" s="144"/>
      <c r="J20" s="62"/>
      <c r="K20" s="62"/>
      <c r="L20" s="87"/>
      <c r="M20" s="62"/>
      <c r="O20" s="143"/>
      <c r="P20" s="144"/>
      <c r="Q20" s="62"/>
      <c r="R20" s="62"/>
      <c r="S20" s="87"/>
      <c r="T20" s="62"/>
    </row>
    <row r="21" spans="1:20" ht="14.25">
      <c r="A21" s="143"/>
      <c r="B21" s="144"/>
      <c r="C21" s="62"/>
      <c r="D21" s="62"/>
      <c r="E21" s="87"/>
      <c r="F21" s="62"/>
      <c r="H21" s="143"/>
      <c r="I21" s="144"/>
      <c r="J21" s="62"/>
      <c r="K21" s="62"/>
      <c r="L21" s="87"/>
      <c r="M21" s="62"/>
      <c r="O21" s="143"/>
      <c r="P21" s="144"/>
      <c r="Q21" s="62"/>
      <c r="R21" s="62"/>
      <c r="S21" s="87"/>
      <c r="T21" s="62"/>
    </row>
    <row r="22" spans="1:20" ht="14.25">
      <c r="A22" s="143"/>
      <c r="B22" s="144"/>
      <c r="C22" s="62"/>
      <c r="D22" s="62"/>
      <c r="E22" s="87"/>
      <c r="F22" s="62"/>
      <c r="H22" s="143"/>
      <c r="I22" s="144"/>
      <c r="J22" s="62"/>
      <c r="K22" s="62"/>
      <c r="L22" s="87"/>
      <c r="M22" s="62"/>
      <c r="O22" s="143"/>
      <c r="P22" s="144"/>
      <c r="Q22" s="62"/>
      <c r="R22" s="62"/>
      <c r="S22" s="87"/>
      <c r="T22" s="62"/>
    </row>
    <row r="23" spans="1:20" ht="14.25">
      <c r="A23" s="143"/>
      <c r="B23" s="144"/>
      <c r="C23" s="62"/>
      <c r="D23" s="62"/>
      <c r="E23" s="87"/>
      <c r="F23" s="62"/>
      <c r="H23" s="143"/>
      <c r="I23" s="144"/>
      <c r="J23" s="62"/>
      <c r="K23" s="62"/>
      <c r="L23" s="87"/>
      <c r="M23" s="62"/>
      <c r="O23" s="143"/>
      <c r="P23" s="144"/>
      <c r="Q23" s="62"/>
      <c r="R23" s="62"/>
      <c r="S23" s="87"/>
      <c r="T23" s="62"/>
    </row>
    <row r="24" spans="1:20" ht="14.25">
      <c r="A24" s="143"/>
      <c r="B24" s="144"/>
      <c r="C24" s="62"/>
      <c r="D24" s="62"/>
      <c r="E24" s="87"/>
      <c r="F24" s="62"/>
      <c r="H24" s="143"/>
      <c r="I24" s="144"/>
      <c r="J24" s="62"/>
      <c r="K24" s="62"/>
      <c r="L24" s="87"/>
      <c r="M24" s="62"/>
      <c r="O24" s="143"/>
      <c r="P24" s="144"/>
      <c r="Q24" s="62"/>
      <c r="R24" s="62"/>
      <c r="S24" s="87"/>
      <c r="T24" s="62"/>
    </row>
    <row r="25" spans="1:20">
      <c r="A25" s="109"/>
    </row>
    <row r="26" spans="1:20">
      <c r="O26" s="110"/>
      <c r="P26" s="89"/>
    </row>
  </sheetData>
  <mergeCells count="60">
    <mergeCell ref="A11:B11"/>
    <mergeCell ref="E7:F7"/>
    <mergeCell ref="A10:B10"/>
    <mergeCell ref="S7:T7"/>
    <mergeCell ref="O10:P10"/>
    <mergeCell ref="O11:P11"/>
    <mergeCell ref="J7:K7"/>
    <mergeCell ref="L7:M7"/>
    <mergeCell ref="S8:T8"/>
    <mergeCell ref="Q8:R8"/>
    <mergeCell ref="E8:F8"/>
    <mergeCell ref="Q7:R7"/>
    <mergeCell ref="A1:B1"/>
    <mergeCell ref="A2:A3"/>
    <mergeCell ref="B2:B3"/>
    <mergeCell ref="C7:D7"/>
    <mergeCell ref="C8:D8"/>
    <mergeCell ref="H12:I12"/>
    <mergeCell ref="O12:P12"/>
    <mergeCell ref="O13:P13"/>
    <mergeCell ref="J8:K8"/>
    <mergeCell ref="L8:M8"/>
    <mergeCell ref="H10:I10"/>
    <mergeCell ref="H11:I11"/>
    <mergeCell ref="H13:I13"/>
    <mergeCell ref="A12:B12"/>
    <mergeCell ref="A13:B13"/>
    <mergeCell ref="A14:B14"/>
    <mergeCell ref="A15:B15"/>
    <mergeCell ref="A16:B16"/>
    <mergeCell ref="A22:B22"/>
    <mergeCell ref="A23:B23"/>
    <mergeCell ref="A24:B24"/>
    <mergeCell ref="A17:B17"/>
    <mergeCell ref="A18:B18"/>
    <mergeCell ref="A19:B19"/>
    <mergeCell ref="A20:B20"/>
    <mergeCell ref="A21:B21"/>
    <mergeCell ref="H14:I14"/>
    <mergeCell ref="H15:I15"/>
    <mergeCell ref="H16:I16"/>
    <mergeCell ref="H17:I17"/>
    <mergeCell ref="H21:I21"/>
    <mergeCell ref="O14:P14"/>
    <mergeCell ref="O15:P15"/>
    <mergeCell ref="O16:P16"/>
    <mergeCell ref="O17:P17"/>
    <mergeCell ref="O18:P18"/>
    <mergeCell ref="O24:P24"/>
    <mergeCell ref="H18:I18"/>
    <mergeCell ref="H19:I19"/>
    <mergeCell ref="H20:I20"/>
    <mergeCell ref="O19:P19"/>
    <mergeCell ref="O20:P20"/>
    <mergeCell ref="O21:P21"/>
    <mergeCell ref="O22:P22"/>
    <mergeCell ref="O23:P23"/>
    <mergeCell ref="H22:I22"/>
    <mergeCell ref="H23:I23"/>
    <mergeCell ref="H24:I24"/>
  </mergeCells>
  <conditionalFormatting sqref="K2:L3">
    <cfRule type="cellIs" dxfId="111" priority="66" stopIfTrue="1" operator="equal">
      <formula>5</formula>
    </cfRule>
    <cfRule type="cellIs" dxfId="110" priority="67" stopIfTrue="1" operator="equal">
      <formula>4</formula>
    </cfRule>
    <cfRule type="cellIs" dxfId="109" priority="68" stopIfTrue="1" operator="equal">
      <formula>3</formula>
    </cfRule>
    <cfRule type="cellIs" dxfId="108" priority="69" stopIfTrue="1" operator="equal">
      <formula>2</formula>
    </cfRule>
    <cfRule type="cellIs" dxfId="107" priority="70" stopIfTrue="1" operator="equal">
      <formula>1</formula>
    </cfRule>
  </conditionalFormatting>
  <conditionalFormatting sqref="K2:M2 K3:L3">
    <cfRule type="cellIs" dxfId="106" priority="59" stopIfTrue="1" operator="equal">
      <formula>0</formula>
    </cfRule>
  </conditionalFormatting>
  <conditionalFormatting sqref="R2:S3">
    <cfRule type="cellIs" dxfId="105" priority="54" stopIfTrue="1" operator="equal">
      <formula>5</formula>
    </cfRule>
    <cfRule type="cellIs" dxfId="104" priority="55" stopIfTrue="1" operator="equal">
      <formula>4</formula>
    </cfRule>
    <cfRule type="cellIs" dxfId="103" priority="56" stopIfTrue="1" operator="equal">
      <formula>3</formula>
    </cfRule>
    <cfRule type="cellIs" dxfId="102" priority="57" stopIfTrue="1" operator="equal">
      <formula>2</formula>
    </cfRule>
    <cfRule type="cellIs" dxfId="101" priority="58" stopIfTrue="1" operator="equal">
      <formula>1</formula>
    </cfRule>
  </conditionalFormatting>
  <conditionalFormatting sqref="R2:T2 R3:S3">
    <cfRule type="cellIs" dxfId="100" priority="47" stopIfTrue="1" operator="equal">
      <formula>0</formula>
    </cfRule>
  </conditionalFormatting>
  <conditionalFormatting sqref="F2">
    <cfRule type="cellIs" dxfId="99" priority="40" stopIfTrue="1" operator="equal">
      <formula>0</formula>
    </cfRule>
  </conditionalFormatting>
  <conditionalFormatting sqref="D2:E2">
    <cfRule type="cellIs" dxfId="98" priority="35" stopIfTrue="1" operator="equal">
      <formula>5</formula>
    </cfRule>
    <cfRule type="cellIs" dxfId="97" priority="36" stopIfTrue="1" operator="equal">
      <formula>4</formula>
    </cfRule>
    <cfRule type="cellIs" dxfId="96" priority="37" stopIfTrue="1" operator="equal">
      <formula>3</formula>
    </cfRule>
    <cfRule type="cellIs" dxfId="95" priority="38" stopIfTrue="1" operator="equal">
      <formula>2</formula>
    </cfRule>
    <cfRule type="cellIs" dxfId="94" priority="39" stopIfTrue="1" operator="equal">
      <formula>1</formula>
    </cfRule>
  </conditionalFormatting>
  <conditionalFormatting sqref="D2:E2">
    <cfRule type="cellIs" dxfId="93" priority="34" stopIfTrue="1" operator="equal">
      <formula>0</formula>
    </cfRule>
  </conditionalFormatting>
  <conditionalFormatting sqref="D3:E3">
    <cfRule type="cellIs" dxfId="92" priority="33" stopIfTrue="1" operator="equal">
      <formula>1</formula>
    </cfRule>
  </conditionalFormatting>
  <conditionalFormatting sqref="D3:E3">
    <cfRule type="cellIs" dxfId="91" priority="22" stopIfTrue="1" operator="equal">
      <formula>0</formula>
    </cfRule>
  </conditionalFormatting>
  <conditionalFormatting sqref="F3">
    <cfRule type="cellIs" dxfId="90" priority="15" stopIfTrue="1" operator="equal">
      <formula>0</formula>
    </cfRule>
  </conditionalFormatting>
  <conditionalFormatting sqref="M3">
    <cfRule type="cellIs" dxfId="89" priority="8" stopIfTrue="1" operator="equal">
      <formula>0</formula>
    </cfRule>
  </conditionalFormatting>
  <conditionalFormatting sqref="T3">
    <cfRule type="cellIs" dxfId="88" priority="1" stopIfTrue="1" operator="equal">
      <formula>0</formula>
    </cfRule>
  </conditionalFormatting>
  <conditionalFormatting sqref="D2:E3">
    <cfRule type="cellIs" dxfId="87" priority="29" stopIfTrue="1" operator="equal">
      <formula>5</formula>
    </cfRule>
    <cfRule type="cellIs" dxfId="86" priority="30" stopIfTrue="1" operator="equal">
      <formula>4</formula>
    </cfRule>
    <cfRule type="cellIs" dxfId="85" priority="31" stopIfTrue="1" operator="equal">
      <formula>3</formula>
    </cfRule>
    <cfRule type="cellIs" dxfId="84" priority="32" stopIfTrue="1" operator="equal">
      <formula>2</formula>
    </cfRule>
  </conditionalFormatting>
  <dataValidations count="3">
    <dataValidation type="date" allowBlank="1" showInputMessage="1" showErrorMessage="1" errorTitle="Not valid date" error="Please enter a valid date" sqref="E10:E24" xr:uid="{00000000-0002-0000-0700-000000000000}">
      <formula1>29221</formula1>
      <formula2>109575</formula2>
    </dataValidation>
    <dataValidation type="date" allowBlank="1" showInputMessage="1" showErrorMessage="1" errorTitle="Not Valid date" error="Please enter valid date" sqref="L10:L24" xr:uid="{00000000-0002-0000-0700-000001000000}">
      <formula1>29221</formula1>
      <formula2>109575</formula2>
    </dataValidation>
    <dataValidation type="date" allowBlank="1" showInputMessage="1" showErrorMessage="1" errorTitle="Not valid Date" error="Please enter valid date" sqref="S10:S24" xr:uid="{00000000-0002-0000-0700-000002000000}">
      <formula1>29221</formula1>
      <formula2>109575</formula2>
    </dataValidation>
  </dataValidations>
  <pageMargins left="0.39370077848434448" right="0.39370077848434448" top="0.39370077848434448" bottom="0.39370077848434448" header="0" footer="0"/>
  <pageSetup paperSize="9" orientation="portrait"/>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8EF57-43F9-4DE8-ADD9-8B8F2561C900}">
  <sheetPr codeName="Sheet8">
    <outlinePr summaryBelow="0" summaryRight="0"/>
  </sheetPr>
  <dimension ref="A1:U26"/>
  <sheetViews>
    <sheetView showGridLines="0" zoomScale="70" zoomScaleNormal="70" workbookViewId="0">
      <selection activeCell="E2" sqref="E2"/>
    </sheetView>
  </sheetViews>
  <sheetFormatPr defaultColWidth="9.140625" defaultRowHeight="12.75"/>
  <cols>
    <col min="1" max="1" width="15.28515625" style="7" customWidth="1"/>
    <col min="2" max="2" width="35.140625" style="1" customWidth="1"/>
    <col min="3" max="3" width="20.5703125" style="1" bestFit="1" customWidth="1"/>
    <col min="4" max="4" width="10.42578125" style="1" customWidth="1"/>
    <col min="5" max="5" width="11.28515625" style="1" customWidth="1"/>
    <col min="6" max="6" width="9.28515625" style="1" bestFit="1" customWidth="1"/>
    <col min="7" max="7" width="3.28515625" style="1" customWidth="1"/>
    <col min="8" max="8" width="14.7109375" style="1" customWidth="1"/>
    <col min="9" max="9" width="22.5703125" style="1" customWidth="1"/>
    <col min="10" max="10" width="26.42578125" style="1" customWidth="1"/>
    <col min="11" max="11" width="11.42578125" style="1" customWidth="1"/>
    <col min="12" max="12" width="13.28515625" style="1" customWidth="1"/>
    <col min="13" max="13" width="10.5703125" style="1" customWidth="1"/>
    <col min="14" max="14" width="3.85546875" style="5" bestFit="1" customWidth="1"/>
    <col min="15" max="15" width="17.5703125" style="1" customWidth="1"/>
    <col min="16" max="16" width="20.42578125" style="1" customWidth="1"/>
    <col min="17" max="17" width="25.42578125" style="1" customWidth="1"/>
    <col min="18" max="18" width="11.7109375" style="1" customWidth="1"/>
    <col min="19" max="19" width="12.140625" style="1" customWidth="1"/>
    <col min="20" max="20" width="12.42578125" style="1" customWidth="1"/>
    <col min="21" max="22" width="9.140625" style="1" customWidth="1"/>
    <col min="23" max="16384" width="9.140625" style="1"/>
  </cols>
  <sheetData>
    <row r="1" spans="1:21" ht="15">
      <c r="A1" s="149" t="s">
        <v>20</v>
      </c>
      <c r="B1" s="150"/>
      <c r="C1" s="8" t="s">
        <v>59</v>
      </c>
      <c r="D1" s="30" t="s">
        <v>15</v>
      </c>
      <c r="E1" s="30" t="s">
        <v>47</v>
      </c>
      <c r="F1" s="30" t="s">
        <v>19</v>
      </c>
      <c r="G1" s="9"/>
      <c r="H1" s="63"/>
      <c r="I1" s="63"/>
      <c r="J1" s="8" t="s">
        <v>59</v>
      </c>
      <c r="K1" s="64" t="s">
        <v>15</v>
      </c>
      <c r="L1" s="64" t="s">
        <v>47</v>
      </c>
      <c r="M1" s="64" t="s">
        <v>19</v>
      </c>
      <c r="O1" s="63"/>
      <c r="P1" s="63"/>
      <c r="Q1" s="8" t="s">
        <v>59</v>
      </c>
      <c r="R1" s="64" t="s">
        <v>15</v>
      </c>
      <c r="S1" s="64" t="s">
        <v>47</v>
      </c>
      <c r="T1" s="64" t="s">
        <v>19</v>
      </c>
      <c r="U1" s="1">
        <v>41195</v>
      </c>
    </row>
    <row r="2" spans="1:21" ht="32.25" customHeight="1">
      <c r="A2" s="151" t="s">
        <v>13</v>
      </c>
      <c r="B2" s="153"/>
      <c r="C2" s="10" t="s">
        <v>60</v>
      </c>
      <c r="D2" s="119">
        <v>4</v>
      </c>
      <c r="E2" s="119">
        <v>3</v>
      </c>
      <c r="F2" s="120">
        <v>12</v>
      </c>
      <c r="G2" s="9"/>
      <c r="H2" s="63"/>
      <c r="I2" s="63"/>
      <c r="J2" s="10" t="s">
        <v>60</v>
      </c>
      <c r="K2" s="119">
        <v>4</v>
      </c>
      <c r="L2" s="119">
        <v>3</v>
      </c>
      <c r="M2" s="120">
        <v>12</v>
      </c>
      <c r="N2" s="6">
        <f>D3+1</f>
        <v>5</v>
      </c>
      <c r="O2" s="63"/>
      <c r="P2" s="63"/>
      <c r="Q2" s="10" t="s">
        <v>60</v>
      </c>
      <c r="R2" s="119">
        <v>4</v>
      </c>
      <c r="S2" s="119">
        <v>3</v>
      </c>
      <c r="T2" s="120">
        <v>12</v>
      </c>
    </row>
    <row r="3" spans="1:21" ht="32.25" customHeight="1">
      <c r="A3" s="152"/>
      <c r="B3" s="154"/>
      <c r="C3" s="11" t="s">
        <v>61</v>
      </c>
      <c r="D3" s="119">
        <v>4</v>
      </c>
      <c r="E3" s="119">
        <v>2</v>
      </c>
      <c r="F3" s="121">
        <f>D3*E3</f>
        <v>8</v>
      </c>
      <c r="G3" s="9"/>
      <c r="H3" s="63"/>
      <c r="I3" s="63"/>
      <c r="J3" s="11" t="s">
        <v>61</v>
      </c>
      <c r="K3" s="119">
        <v>3</v>
      </c>
      <c r="L3" s="119">
        <v>3</v>
      </c>
      <c r="M3" s="121">
        <f>K3*L3</f>
        <v>9</v>
      </c>
      <c r="N3" s="6">
        <f>E3+0.5</f>
        <v>2.5</v>
      </c>
      <c r="O3" s="63"/>
      <c r="P3" s="63"/>
      <c r="Q3" s="11" t="s">
        <v>61</v>
      </c>
      <c r="R3" s="119">
        <v>2</v>
      </c>
      <c r="S3" s="119">
        <v>4</v>
      </c>
      <c r="T3" s="121">
        <f>R3*S3</f>
        <v>8</v>
      </c>
    </row>
    <row r="4" spans="1:21" ht="54.75" customHeight="1">
      <c r="A4" s="12" t="s">
        <v>14</v>
      </c>
      <c r="B4" s="82"/>
      <c r="C4" s="13"/>
      <c r="D4" s="14"/>
      <c r="E4" s="14"/>
      <c r="F4" s="15"/>
      <c r="G4" s="9"/>
      <c r="H4" s="63"/>
      <c r="I4" s="63"/>
      <c r="J4" s="65"/>
      <c r="K4" s="66"/>
      <c r="L4" s="66"/>
      <c r="M4" s="67"/>
      <c r="N4" s="6"/>
      <c r="O4" s="63"/>
      <c r="P4" s="63"/>
      <c r="Q4" s="65"/>
      <c r="R4" s="66"/>
      <c r="S4" s="66"/>
      <c r="T4" s="67"/>
    </row>
    <row r="5" spans="1:21" ht="49.5" customHeight="1">
      <c r="A5" s="16" t="s">
        <v>15</v>
      </c>
      <c r="B5" s="82"/>
      <c r="C5" s="17"/>
      <c r="D5" s="88">
        <f>D2+1</f>
        <v>5</v>
      </c>
      <c r="E5" s="88">
        <f>D3+1</f>
        <v>5</v>
      </c>
      <c r="F5" s="18"/>
      <c r="G5" s="9"/>
      <c r="H5" s="63"/>
      <c r="I5" s="63"/>
      <c r="J5" s="68"/>
      <c r="K5" s="88">
        <f>K2+1</f>
        <v>5</v>
      </c>
      <c r="L5" s="88">
        <f>K3+1</f>
        <v>4</v>
      </c>
      <c r="M5" s="18"/>
      <c r="O5" s="63"/>
      <c r="P5" s="63"/>
      <c r="Q5" s="68"/>
      <c r="R5" s="88">
        <f>R2+1</f>
        <v>5</v>
      </c>
      <c r="S5" s="88">
        <f>R3+1</f>
        <v>3</v>
      </c>
      <c r="T5" s="18"/>
    </row>
    <row r="6" spans="1:21" ht="63" customHeight="1">
      <c r="A6" s="16" t="s">
        <v>16</v>
      </c>
      <c r="B6" s="83"/>
      <c r="C6" s="19"/>
      <c r="D6" s="88">
        <f>E2+0.5</f>
        <v>3.5</v>
      </c>
      <c r="E6" s="88">
        <f>E3+0.5</f>
        <v>2.5</v>
      </c>
      <c r="F6" s="20"/>
      <c r="G6" s="9"/>
      <c r="H6" s="63"/>
      <c r="I6" s="63"/>
      <c r="J6" s="69"/>
      <c r="K6" s="88">
        <f>L2+0.5</f>
        <v>3.5</v>
      </c>
      <c r="L6" s="88">
        <f>L3+0.5</f>
        <v>3.5</v>
      </c>
      <c r="M6" s="20"/>
      <c r="O6" s="63"/>
      <c r="P6" s="63"/>
      <c r="Q6" s="69"/>
      <c r="R6" s="88">
        <f>S2+0.5</f>
        <v>3.5</v>
      </c>
      <c r="S6" s="88">
        <f>S3+0.5</f>
        <v>4.5</v>
      </c>
      <c r="T6" s="20"/>
    </row>
    <row r="7" spans="1:21" ht="41.25" customHeight="1">
      <c r="A7" s="58" t="s">
        <v>62</v>
      </c>
      <c r="B7" s="59" t="s">
        <v>12</v>
      </c>
      <c r="C7" s="155" t="s">
        <v>63</v>
      </c>
      <c r="D7" s="156"/>
      <c r="E7" s="157" t="s">
        <v>64</v>
      </c>
      <c r="F7" s="158"/>
      <c r="H7" s="58" t="s">
        <v>62</v>
      </c>
      <c r="I7" s="58" t="s">
        <v>12</v>
      </c>
      <c r="J7" s="155" t="s">
        <v>63</v>
      </c>
      <c r="K7" s="156"/>
      <c r="L7" s="157" t="s">
        <v>64</v>
      </c>
      <c r="M7" s="158"/>
      <c r="O7" s="58" t="s">
        <v>62</v>
      </c>
      <c r="P7" s="58" t="s">
        <v>12</v>
      </c>
      <c r="Q7" s="155" t="s">
        <v>63</v>
      </c>
      <c r="R7" s="156"/>
      <c r="S7" s="157" t="s">
        <v>64</v>
      </c>
      <c r="T7" s="158"/>
    </row>
    <row r="8" spans="1:21" ht="28.5">
      <c r="A8" s="60" t="s">
        <v>55</v>
      </c>
      <c r="B8" s="84" t="s">
        <v>21</v>
      </c>
      <c r="C8" s="145">
        <v>43815.413518518515</v>
      </c>
      <c r="D8" s="146"/>
      <c r="E8" s="159">
        <v>200</v>
      </c>
      <c r="F8" s="160"/>
      <c r="H8" s="60" t="s">
        <v>57</v>
      </c>
      <c r="I8" s="84" t="s">
        <v>21</v>
      </c>
      <c r="J8" s="145">
        <v>43815.413518518515</v>
      </c>
      <c r="K8" s="146"/>
      <c r="L8" s="147">
        <v>200</v>
      </c>
      <c r="M8" s="148"/>
      <c r="O8" s="60" t="s">
        <v>58</v>
      </c>
      <c r="P8" s="84" t="s">
        <v>21</v>
      </c>
      <c r="Q8" s="145">
        <v>43815.413518518515</v>
      </c>
      <c r="R8" s="146"/>
      <c r="S8" s="147">
        <v>200</v>
      </c>
      <c r="T8" s="148"/>
    </row>
    <row r="9" spans="1:21" ht="30">
      <c r="A9" s="58" t="s">
        <v>65</v>
      </c>
      <c r="B9" s="58"/>
      <c r="C9" s="58" t="s">
        <v>66</v>
      </c>
      <c r="D9" s="61" t="s">
        <v>67</v>
      </c>
      <c r="E9" s="61" t="s">
        <v>63</v>
      </c>
      <c r="F9" s="61" t="s">
        <v>68</v>
      </c>
      <c r="H9" s="58" t="s">
        <v>65</v>
      </c>
      <c r="I9" s="58"/>
      <c r="J9" s="58" t="s">
        <v>66</v>
      </c>
      <c r="K9" s="61" t="s">
        <v>67</v>
      </c>
      <c r="L9" s="61" t="s">
        <v>63</v>
      </c>
      <c r="M9" s="61" t="s">
        <v>68</v>
      </c>
      <c r="O9" s="58" t="s">
        <v>65</v>
      </c>
      <c r="P9" s="58"/>
      <c r="Q9" s="58" t="s">
        <v>66</v>
      </c>
      <c r="R9" s="61" t="s">
        <v>67</v>
      </c>
      <c r="S9" s="61" t="s">
        <v>63</v>
      </c>
      <c r="T9" s="61" t="s">
        <v>68</v>
      </c>
    </row>
    <row r="10" spans="1:21" ht="14.25">
      <c r="A10" s="143"/>
      <c r="B10" s="144"/>
      <c r="C10" s="62"/>
      <c r="D10" s="62"/>
      <c r="E10" s="87"/>
      <c r="F10" s="62"/>
      <c r="H10" s="143"/>
      <c r="I10" s="144"/>
      <c r="J10" s="62"/>
      <c r="K10" s="62"/>
      <c r="L10" s="87"/>
      <c r="M10" s="62"/>
      <c r="O10" s="143"/>
      <c r="P10" s="144"/>
      <c r="Q10" s="62"/>
      <c r="R10" s="62"/>
      <c r="S10" s="87"/>
      <c r="T10" s="62"/>
    </row>
    <row r="11" spans="1:21" ht="14.25">
      <c r="A11" s="143"/>
      <c r="B11" s="144"/>
      <c r="C11" s="62"/>
      <c r="D11" s="62"/>
      <c r="E11" s="87"/>
      <c r="F11" s="62"/>
      <c r="H11" s="143"/>
      <c r="I11" s="144"/>
      <c r="J11" s="62"/>
      <c r="K11" s="62"/>
      <c r="L11" s="87"/>
      <c r="M11" s="62"/>
      <c r="O11" s="143"/>
      <c r="P11" s="144"/>
      <c r="Q11" s="62"/>
      <c r="R11" s="62"/>
      <c r="S11" s="87"/>
      <c r="T11" s="62"/>
    </row>
    <row r="12" spans="1:21" ht="14.25">
      <c r="A12" s="143"/>
      <c r="B12" s="144"/>
      <c r="C12" s="62"/>
      <c r="D12" s="62"/>
      <c r="E12" s="87"/>
      <c r="F12" s="62"/>
      <c r="H12" s="143"/>
      <c r="I12" s="144"/>
      <c r="J12" s="62"/>
      <c r="K12" s="62"/>
      <c r="L12" s="87"/>
      <c r="M12" s="62"/>
      <c r="O12" s="143"/>
      <c r="P12" s="144"/>
      <c r="Q12" s="62"/>
      <c r="R12" s="62"/>
      <c r="S12" s="87"/>
      <c r="T12" s="62"/>
    </row>
    <row r="13" spans="1:21" ht="14.25">
      <c r="A13" s="143"/>
      <c r="B13" s="144"/>
      <c r="C13" s="62"/>
      <c r="D13" s="62"/>
      <c r="E13" s="87"/>
      <c r="F13" s="62"/>
      <c r="H13" s="143"/>
      <c r="I13" s="144"/>
      <c r="J13" s="62"/>
      <c r="K13" s="62"/>
      <c r="L13" s="87"/>
      <c r="M13" s="62"/>
      <c r="O13" s="143"/>
      <c r="P13" s="144"/>
      <c r="Q13" s="62"/>
      <c r="R13" s="62"/>
      <c r="S13" s="87"/>
      <c r="T13" s="62"/>
    </row>
    <row r="14" spans="1:21" ht="14.25">
      <c r="A14" s="143"/>
      <c r="B14" s="144"/>
      <c r="C14" s="62"/>
      <c r="D14" s="62"/>
      <c r="E14" s="87"/>
      <c r="F14" s="62"/>
      <c r="H14" s="143"/>
      <c r="I14" s="144"/>
      <c r="J14" s="62"/>
      <c r="K14" s="62"/>
      <c r="L14" s="87"/>
      <c r="M14" s="62"/>
      <c r="O14" s="143"/>
      <c r="P14" s="144"/>
      <c r="Q14" s="62"/>
      <c r="R14" s="62"/>
      <c r="S14" s="87"/>
      <c r="T14" s="62"/>
    </row>
    <row r="15" spans="1:21" ht="14.25">
      <c r="A15" s="143"/>
      <c r="B15" s="144"/>
      <c r="C15" s="62"/>
      <c r="D15" s="62"/>
      <c r="E15" s="87"/>
      <c r="F15" s="62"/>
      <c r="H15" s="143"/>
      <c r="I15" s="144"/>
      <c r="J15" s="62"/>
      <c r="K15" s="62"/>
      <c r="L15" s="87"/>
      <c r="M15" s="62"/>
      <c r="O15" s="143"/>
      <c r="P15" s="144"/>
      <c r="Q15" s="62"/>
      <c r="R15" s="62"/>
      <c r="S15" s="87"/>
      <c r="T15" s="62"/>
    </row>
    <row r="16" spans="1:21" ht="14.25">
      <c r="A16" s="143"/>
      <c r="B16" s="144"/>
      <c r="C16" s="62"/>
      <c r="D16" s="62"/>
      <c r="E16" s="87"/>
      <c r="F16" s="62"/>
      <c r="H16" s="143"/>
      <c r="I16" s="144"/>
      <c r="J16" s="62"/>
      <c r="K16" s="62"/>
      <c r="L16" s="87"/>
      <c r="M16" s="62"/>
      <c r="O16" s="143"/>
      <c r="P16" s="144"/>
      <c r="Q16" s="62"/>
      <c r="R16" s="62"/>
      <c r="S16" s="87"/>
      <c r="T16" s="62"/>
    </row>
    <row r="17" spans="1:20" ht="14.25">
      <c r="A17" s="143"/>
      <c r="B17" s="144"/>
      <c r="C17" s="62"/>
      <c r="D17" s="62"/>
      <c r="E17" s="87"/>
      <c r="F17" s="62"/>
      <c r="H17" s="143"/>
      <c r="I17" s="144"/>
      <c r="J17" s="62"/>
      <c r="K17" s="62"/>
      <c r="L17" s="87"/>
      <c r="M17" s="62"/>
      <c r="O17" s="143"/>
      <c r="P17" s="144"/>
      <c r="Q17" s="62"/>
      <c r="R17" s="62"/>
      <c r="S17" s="87"/>
      <c r="T17" s="62"/>
    </row>
    <row r="18" spans="1:20" ht="14.25">
      <c r="A18" s="143"/>
      <c r="B18" s="144"/>
      <c r="C18" s="62"/>
      <c r="D18" s="62"/>
      <c r="E18" s="87"/>
      <c r="F18" s="62"/>
      <c r="H18" s="143"/>
      <c r="I18" s="144"/>
      <c r="J18" s="62"/>
      <c r="K18" s="62"/>
      <c r="L18" s="87"/>
      <c r="M18" s="62"/>
      <c r="O18" s="143"/>
      <c r="P18" s="144"/>
      <c r="Q18" s="62"/>
      <c r="R18" s="62"/>
      <c r="S18" s="87"/>
      <c r="T18" s="62"/>
    </row>
    <row r="19" spans="1:20" ht="14.25">
      <c r="A19" s="143"/>
      <c r="B19" s="144"/>
      <c r="C19" s="62"/>
      <c r="D19" s="62"/>
      <c r="E19" s="87"/>
      <c r="F19" s="62"/>
      <c r="H19" s="143"/>
      <c r="I19" s="144"/>
      <c r="J19" s="62"/>
      <c r="K19" s="62"/>
      <c r="L19" s="87"/>
      <c r="M19" s="62"/>
      <c r="O19" s="143"/>
      <c r="P19" s="144"/>
      <c r="Q19" s="62"/>
      <c r="R19" s="62"/>
      <c r="S19" s="87"/>
      <c r="T19" s="62"/>
    </row>
    <row r="20" spans="1:20" ht="14.25">
      <c r="A20" s="143"/>
      <c r="B20" s="144"/>
      <c r="C20" s="62"/>
      <c r="D20" s="62"/>
      <c r="E20" s="87"/>
      <c r="F20" s="62"/>
      <c r="H20" s="143"/>
      <c r="I20" s="144"/>
      <c r="J20" s="62"/>
      <c r="K20" s="62"/>
      <c r="L20" s="87"/>
      <c r="M20" s="62"/>
      <c r="O20" s="143"/>
      <c r="P20" s="144"/>
      <c r="Q20" s="62"/>
      <c r="R20" s="62"/>
      <c r="S20" s="87"/>
      <c r="T20" s="62"/>
    </row>
    <row r="21" spans="1:20" ht="14.25">
      <c r="A21" s="143"/>
      <c r="B21" s="144"/>
      <c r="C21" s="62"/>
      <c r="D21" s="62"/>
      <c r="E21" s="87"/>
      <c r="F21" s="62"/>
      <c r="H21" s="143"/>
      <c r="I21" s="144"/>
      <c r="J21" s="62"/>
      <c r="K21" s="62"/>
      <c r="L21" s="87"/>
      <c r="M21" s="62"/>
      <c r="O21" s="143"/>
      <c r="P21" s="144"/>
      <c r="Q21" s="62"/>
      <c r="R21" s="62"/>
      <c r="S21" s="87"/>
      <c r="T21" s="62"/>
    </row>
    <row r="22" spans="1:20" ht="14.25">
      <c r="A22" s="143"/>
      <c r="B22" s="144"/>
      <c r="C22" s="62"/>
      <c r="D22" s="62"/>
      <c r="E22" s="87"/>
      <c r="F22" s="62"/>
      <c r="H22" s="143"/>
      <c r="I22" s="144"/>
      <c r="J22" s="62"/>
      <c r="K22" s="62"/>
      <c r="L22" s="87"/>
      <c r="M22" s="62"/>
      <c r="O22" s="143"/>
      <c r="P22" s="144"/>
      <c r="Q22" s="62"/>
      <c r="R22" s="62"/>
      <c r="S22" s="87"/>
      <c r="T22" s="62"/>
    </row>
    <row r="23" spans="1:20" ht="14.25">
      <c r="A23" s="143"/>
      <c r="B23" s="144"/>
      <c r="C23" s="62"/>
      <c r="D23" s="62"/>
      <c r="E23" s="87"/>
      <c r="F23" s="62"/>
      <c r="H23" s="143"/>
      <c r="I23" s="144"/>
      <c r="J23" s="62"/>
      <c r="K23" s="62"/>
      <c r="L23" s="87"/>
      <c r="M23" s="62"/>
      <c r="O23" s="143"/>
      <c r="P23" s="144"/>
      <c r="Q23" s="62"/>
      <c r="R23" s="62"/>
      <c r="S23" s="87"/>
      <c r="T23" s="62"/>
    </row>
    <row r="24" spans="1:20" ht="14.25">
      <c r="A24" s="143"/>
      <c r="B24" s="144"/>
      <c r="C24" s="62"/>
      <c r="D24" s="62"/>
      <c r="E24" s="87"/>
      <c r="F24" s="62"/>
      <c r="H24" s="143"/>
      <c r="I24" s="144"/>
      <c r="J24" s="62"/>
      <c r="K24" s="62"/>
      <c r="L24" s="87"/>
      <c r="M24" s="62"/>
      <c r="O24" s="143"/>
      <c r="P24" s="144"/>
      <c r="Q24" s="62"/>
      <c r="R24" s="62"/>
      <c r="S24" s="87"/>
      <c r="T24" s="62"/>
    </row>
    <row r="25" spans="1:20">
      <c r="A25" s="109"/>
    </row>
    <row r="26" spans="1:20">
      <c r="O26" s="110"/>
      <c r="P26" s="89"/>
    </row>
  </sheetData>
  <mergeCells count="60">
    <mergeCell ref="A1:B1"/>
    <mergeCell ref="A2:A3"/>
    <mergeCell ref="B2:B3"/>
    <mergeCell ref="C7:D7"/>
    <mergeCell ref="E7:F7"/>
    <mergeCell ref="L7:M7"/>
    <mergeCell ref="Q7:R7"/>
    <mergeCell ref="S7:T7"/>
    <mergeCell ref="C8:D8"/>
    <mergeCell ref="E8:F8"/>
    <mergeCell ref="J8:K8"/>
    <mergeCell ref="L8:M8"/>
    <mergeCell ref="Q8:R8"/>
    <mergeCell ref="S8:T8"/>
    <mergeCell ref="J7:K7"/>
    <mergeCell ref="A10:B10"/>
    <mergeCell ref="H10:I10"/>
    <mergeCell ref="O10:P10"/>
    <mergeCell ref="A11:B11"/>
    <mergeCell ref="H11:I11"/>
    <mergeCell ref="O11:P11"/>
    <mergeCell ref="A12:B12"/>
    <mergeCell ref="H12:I12"/>
    <mergeCell ref="O12:P12"/>
    <mergeCell ref="A13:B13"/>
    <mergeCell ref="H13:I13"/>
    <mergeCell ref="O13:P13"/>
    <mergeCell ref="A14:B14"/>
    <mergeCell ref="H14:I14"/>
    <mergeCell ref="O14:P14"/>
    <mergeCell ref="A15:B15"/>
    <mergeCell ref="H15:I15"/>
    <mergeCell ref="O15:P15"/>
    <mergeCell ref="A16:B16"/>
    <mergeCell ref="H16:I16"/>
    <mergeCell ref="O16:P16"/>
    <mergeCell ref="A17:B17"/>
    <mergeCell ref="H17:I17"/>
    <mergeCell ref="O17:P17"/>
    <mergeCell ref="A18:B18"/>
    <mergeCell ref="H18:I18"/>
    <mergeCell ref="O18:P18"/>
    <mergeCell ref="A19:B19"/>
    <mergeCell ref="H19:I19"/>
    <mergeCell ref="O19:P19"/>
    <mergeCell ref="A20:B20"/>
    <mergeCell ref="H20:I20"/>
    <mergeCell ref="O20:P20"/>
    <mergeCell ref="A21:B21"/>
    <mergeCell ref="H21:I21"/>
    <mergeCell ref="O21:P21"/>
    <mergeCell ref="A24:B24"/>
    <mergeCell ref="H24:I24"/>
    <mergeCell ref="O24:P24"/>
    <mergeCell ref="A22:B22"/>
    <mergeCell ref="H22:I22"/>
    <mergeCell ref="O22:P22"/>
    <mergeCell ref="A23:B23"/>
    <mergeCell ref="H23:I23"/>
    <mergeCell ref="O23:P23"/>
  </mergeCells>
  <conditionalFormatting sqref="K2:L3">
    <cfRule type="cellIs" dxfId="83" priority="24" stopIfTrue="1" operator="equal">
      <formula>5</formula>
    </cfRule>
    <cfRule type="cellIs" dxfId="82" priority="25" stopIfTrue="1" operator="equal">
      <formula>4</formula>
    </cfRule>
    <cfRule type="cellIs" dxfId="81" priority="26" stopIfTrue="1" operator="equal">
      <formula>3</formula>
    </cfRule>
    <cfRule type="cellIs" dxfId="80" priority="27" stopIfTrue="1" operator="equal">
      <formula>2</formula>
    </cfRule>
    <cfRule type="cellIs" dxfId="79" priority="28" stopIfTrue="1" operator="equal">
      <formula>1</formula>
    </cfRule>
  </conditionalFormatting>
  <conditionalFormatting sqref="K2:M2 K3:L3">
    <cfRule type="cellIs" dxfId="78" priority="23" stopIfTrue="1" operator="equal">
      <formula>0</formula>
    </cfRule>
  </conditionalFormatting>
  <conditionalFormatting sqref="R2:S3">
    <cfRule type="cellIs" dxfId="77" priority="18" stopIfTrue="1" operator="equal">
      <formula>5</formula>
    </cfRule>
    <cfRule type="cellIs" dxfId="76" priority="19" stopIfTrue="1" operator="equal">
      <formula>4</formula>
    </cfRule>
    <cfRule type="cellIs" dxfId="75" priority="20" stopIfTrue="1" operator="equal">
      <formula>3</formula>
    </cfRule>
    <cfRule type="cellIs" dxfId="74" priority="21" stopIfTrue="1" operator="equal">
      <formula>2</formula>
    </cfRule>
    <cfRule type="cellIs" dxfId="73" priority="22" stopIfTrue="1" operator="equal">
      <formula>1</formula>
    </cfRule>
  </conditionalFormatting>
  <conditionalFormatting sqref="R2:T2 R3:S3">
    <cfRule type="cellIs" dxfId="72" priority="17" stopIfTrue="1" operator="equal">
      <formula>0</formula>
    </cfRule>
  </conditionalFormatting>
  <conditionalFormatting sqref="F2">
    <cfRule type="cellIs" dxfId="71" priority="16" stopIfTrue="1" operator="equal">
      <formula>0</formula>
    </cfRule>
  </conditionalFormatting>
  <conditionalFormatting sqref="D2:E2">
    <cfRule type="cellIs" dxfId="70" priority="11" stopIfTrue="1" operator="equal">
      <formula>5</formula>
    </cfRule>
    <cfRule type="cellIs" dxfId="69" priority="12" stopIfTrue="1" operator="equal">
      <formula>4</formula>
    </cfRule>
    <cfRule type="cellIs" dxfId="68" priority="13" stopIfTrue="1" operator="equal">
      <formula>3</formula>
    </cfRule>
    <cfRule type="cellIs" dxfId="67" priority="14" stopIfTrue="1" operator="equal">
      <formula>2</formula>
    </cfRule>
    <cfRule type="cellIs" dxfId="66" priority="15" stopIfTrue="1" operator="equal">
      <formula>1</formula>
    </cfRule>
  </conditionalFormatting>
  <conditionalFormatting sqref="D2:E2">
    <cfRule type="cellIs" dxfId="65" priority="10" stopIfTrue="1" operator="equal">
      <formula>0</formula>
    </cfRule>
  </conditionalFormatting>
  <conditionalFormatting sqref="D3:E3">
    <cfRule type="cellIs" dxfId="64" priority="9" stopIfTrue="1" operator="equal">
      <formula>1</formula>
    </cfRule>
  </conditionalFormatting>
  <conditionalFormatting sqref="D3:E3">
    <cfRule type="cellIs" dxfId="63" priority="4" stopIfTrue="1" operator="equal">
      <formula>0</formula>
    </cfRule>
  </conditionalFormatting>
  <conditionalFormatting sqref="F3">
    <cfRule type="cellIs" dxfId="62" priority="3" stopIfTrue="1" operator="equal">
      <formula>0</formula>
    </cfRule>
  </conditionalFormatting>
  <conditionalFormatting sqref="M3">
    <cfRule type="cellIs" dxfId="61" priority="2" stopIfTrue="1" operator="equal">
      <formula>0</formula>
    </cfRule>
  </conditionalFormatting>
  <conditionalFormatting sqref="T3">
    <cfRule type="cellIs" dxfId="60" priority="1" stopIfTrue="1" operator="equal">
      <formula>0</formula>
    </cfRule>
  </conditionalFormatting>
  <conditionalFormatting sqref="D2:E3">
    <cfRule type="cellIs" dxfId="59" priority="5" stopIfTrue="1" operator="equal">
      <formula>5</formula>
    </cfRule>
    <cfRule type="cellIs" dxfId="58" priority="6" stopIfTrue="1" operator="equal">
      <formula>4</formula>
    </cfRule>
    <cfRule type="cellIs" dxfId="57" priority="7" stopIfTrue="1" operator="equal">
      <formula>3</formula>
    </cfRule>
    <cfRule type="cellIs" dxfId="56" priority="8" stopIfTrue="1" operator="equal">
      <formula>2</formula>
    </cfRule>
  </conditionalFormatting>
  <dataValidations count="3">
    <dataValidation type="date" allowBlank="1" showInputMessage="1" showErrorMessage="1" errorTitle="Not valid Date" error="Please enter valid date" sqref="S10:S24" xr:uid="{F516651D-6F23-44E7-966C-EF1AD278BB47}">
      <formula1>29221</formula1>
      <formula2>109575</formula2>
    </dataValidation>
    <dataValidation type="date" allowBlank="1" showInputMessage="1" showErrorMessage="1" errorTitle="Not Valid date" error="Please enter valid date" sqref="L10:L24" xr:uid="{327F7FCD-9117-4D88-BD35-6846D5E891FE}">
      <formula1>29221</formula1>
      <formula2>109575</formula2>
    </dataValidation>
    <dataValidation type="date" allowBlank="1" showInputMessage="1" showErrorMessage="1" errorTitle="Not valid date" error="Please enter a valid date" sqref="E10:E24" xr:uid="{D792ED33-11D7-4F53-8631-279A92FF3B8E}">
      <formula1>29221</formula1>
      <formula2>109575</formula2>
    </dataValidation>
  </dataValidations>
  <pageMargins left="0.39370077848434448" right="0.39370077848434448" top="0.39370077848434448" bottom="0.39370077848434448" header="0" footer="0"/>
  <pageSetup paperSize="9" orientation="portrait"/>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1A1E6-CDBD-4B89-A37A-0EFE0B4F7B6D}">
  <sheetPr codeName="Sheet10">
    <outlinePr summaryBelow="0" summaryRight="0"/>
  </sheetPr>
  <dimension ref="A1:U26"/>
  <sheetViews>
    <sheetView showGridLines="0" zoomScale="70" zoomScaleNormal="70" workbookViewId="0">
      <selection activeCell="E2" sqref="E2"/>
    </sheetView>
  </sheetViews>
  <sheetFormatPr defaultColWidth="9.140625" defaultRowHeight="12.75"/>
  <cols>
    <col min="1" max="1" width="15.28515625" style="7" customWidth="1"/>
    <col min="2" max="2" width="35.140625" style="1" customWidth="1"/>
    <col min="3" max="3" width="20.5703125" style="1" bestFit="1" customWidth="1"/>
    <col min="4" max="4" width="10.42578125" style="1" customWidth="1"/>
    <col min="5" max="5" width="11.28515625" style="1" customWidth="1"/>
    <col min="6" max="6" width="9.28515625" style="1" bestFit="1" customWidth="1"/>
    <col min="7" max="7" width="3.28515625" style="1" customWidth="1"/>
    <col min="8" max="8" width="14.7109375" style="1" customWidth="1"/>
    <col min="9" max="9" width="22.5703125" style="1" customWidth="1"/>
    <col min="10" max="10" width="26.42578125" style="1" customWidth="1"/>
    <col min="11" max="11" width="11.42578125" style="1" customWidth="1"/>
    <col min="12" max="12" width="13.28515625" style="1" customWidth="1"/>
    <col min="13" max="13" width="10.5703125" style="1" customWidth="1"/>
    <col min="14" max="14" width="3.85546875" style="5" bestFit="1" customWidth="1"/>
    <col min="15" max="15" width="17.5703125" style="1" customWidth="1"/>
    <col min="16" max="16" width="20.42578125" style="1" customWidth="1"/>
    <col min="17" max="17" width="25.42578125" style="1" customWidth="1"/>
    <col min="18" max="18" width="11.7109375" style="1" customWidth="1"/>
    <col min="19" max="19" width="12.140625" style="1" customWidth="1"/>
    <col min="20" max="20" width="12.42578125" style="1" customWidth="1"/>
    <col min="21" max="22" width="9.140625" style="1" customWidth="1"/>
    <col min="23" max="16384" width="9.140625" style="1"/>
  </cols>
  <sheetData>
    <row r="1" spans="1:21" ht="15">
      <c r="A1" s="149" t="s">
        <v>22</v>
      </c>
      <c r="B1" s="150"/>
      <c r="C1" s="8" t="s">
        <v>59</v>
      </c>
      <c r="D1" s="30" t="s">
        <v>15</v>
      </c>
      <c r="E1" s="30" t="s">
        <v>47</v>
      </c>
      <c r="F1" s="30" t="s">
        <v>19</v>
      </c>
      <c r="G1" s="9"/>
      <c r="H1" s="63"/>
      <c r="I1" s="63"/>
      <c r="J1" s="8" t="s">
        <v>59</v>
      </c>
      <c r="K1" s="64" t="s">
        <v>15</v>
      </c>
      <c r="L1" s="64" t="s">
        <v>47</v>
      </c>
      <c r="M1" s="64" t="s">
        <v>19</v>
      </c>
      <c r="O1" s="63"/>
      <c r="P1" s="63"/>
      <c r="Q1" s="8" t="s">
        <v>59</v>
      </c>
      <c r="R1" s="64" t="s">
        <v>15</v>
      </c>
      <c r="S1" s="64" t="s">
        <v>47</v>
      </c>
      <c r="T1" s="64" t="s">
        <v>19</v>
      </c>
      <c r="U1" s="1">
        <v>41196</v>
      </c>
    </row>
    <row r="2" spans="1:21" ht="32.25" customHeight="1">
      <c r="A2" s="151" t="s">
        <v>13</v>
      </c>
      <c r="B2" s="153"/>
      <c r="C2" s="10" t="s">
        <v>60</v>
      </c>
      <c r="D2" s="119">
        <v>5</v>
      </c>
      <c r="E2" s="119">
        <v>2</v>
      </c>
      <c r="F2" s="120">
        <v>10</v>
      </c>
      <c r="G2" s="9"/>
      <c r="H2" s="63"/>
      <c r="I2" s="63"/>
      <c r="J2" s="10" t="s">
        <v>60</v>
      </c>
      <c r="K2" s="119">
        <v>5</v>
      </c>
      <c r="L2" s="119">
        <v>2</v>
      </c>
      <c r="M2" s="120">
        <v>10</v>
      </c>
      <c r="N2" s="6">
        <f>D3+1</f>
        <v>1</v>
      </c>
      <c r="O2" s="63"/>
      <c r="P2" s="63"/>
      <c r="Q2" s="10" t="s">
        <v>60</v>
      </c>
      <c r="R2" s="119">
        <v>5</v>
      </c>
      <c r="S2" s="119">
        <v>2</v>
      </c>
      <c r="T2" s="120">
        <v>10</v>
      </c>
    </row>
    <row r="3" spans="1:21" ht="32.25" customHeight="1">
      <c r="A3" s="152"/>
      <c r="B3" s="154"/>
      <c r="C3" s="11" t="s">
        <v>61</v>
      </c>
      <c r="D3" s="119"/>
      <c r="E3" s="119"/>
      <c r="F3" s="121">
        <f>D3*E3</f>
        <v>0</v>
      </c>
      <c r="G3" s="9"/>
      <c r="H3" s="63"/>
      <c r="I3" s="63"/>
      <c r="J3" s="11" t="s">
        <v>61</v>
      </c>
      <c r="K3" s="119"/>
      <c r="L3" s="119"/>
      <c r="M3" s="121">
        <f>K3*L3</f>
        <v>0</v>
      </c>
      <c r="N3" s="6">
        <f>E3+0.5</f>
        <v>0.5</v>
      </c>
      <c r="O3" s="63"/>
      <c r="P3" s="63"/>
      <c r="Q3" s="11" t="s">
        <v>61</v>
      </c>
      <c r="R3" s="119"/>
      <c r="S3" s="119"/>
      <c r="T3" s="121">
        <f>R3*S3</f>
        <v>0</v>
      </c>
    </row>
    <row r="4" spans="1:21" ht="54.75" customHeight="1">
      <c r="A4" s="12" t="s">
        <v>14</v>
      </c>
      <c r="B4" s="82"/>
      <c r="C4" s="13"/>
      <c r="D4" s="14"/>
      <c r="E4" s="14"/>
      <c r="F4" s="15"/>
      <c r="G4" s="9"/>
      <c r="H4" s="63"/>
      <c r="I4" s="63"/>
      <c r="J4" s="65"/>
      <c r="K4" s="66"/>
      <c r="L4" s="66"/>
      <c r="M4" s="67"/>
      <c r="N4" s="6"/>
      <c r="O4" s="63"/>
      <c r="P4" s="63"/>
      <c r="Q4" s="65"/>
      <c r="R4" s="66"/>
      <c r="S4" s="66"/>
      <c r="T4" s="67"/>
    </row>
    <row r="5" spans="1:21" ht="49.5" customHeight="1">
      <c r="A5" s="16" t="s">
        <v>15</v>
      </c>
      <c r="B5" s="82"/>
      <c r="C5" s="17"/>
      <c r="D5" s="88">
        <f>D2+1</f>
        <v>6</v>
      </c>
      <c r="E5" s="88">
        <f>D3+1</f>
        <v>1</v>
      </c>
      <c r="F5" s="18"/>
      <c r="G5" s="9"/>
      <c r="H5" s="63"/>
      <c r="I5" s="63"/>
      <c r="J5" s="68"/>
      <c r="K5" s="88">
        <f>K2+1</f>
        <v>6</v>
      </c>
      <c r="L5" s="88">
        <f>K3+1</f>
        <v>1</v>
      </c>
      <c r="M5" s="18"/>
      <c r="O5" s="63"/>
      <c r="P5" s="63"/>
      <c r="Q5" s="68"/>
      <c r="R5" s="88">
        <f>R2+1</f>
        <v>6</v>
      </c>
      <c r="S5" s="88">
        <f>R3+1</f>
        <v>1</v>
      </c>
      <c r="T5" s="18"/>
    </row>
    <row r="6" spans="1:21" ht="63" customHeight="1">
      <c r="A6" s="16" t="s">
        <v>16</v>
      </c>
      <c r="B6" s="83"/>
      <c r="C6" s="19"/>
      <c r="D6" s="88">
        <f>E2+0.5</f>
        <v>2.5</v>
      </c>
      <c r="E6" s="88">
        <f>E3+0.5</f>
        <v>0.5</v>
      </c>
      <c r="F6" s="20"/>
      <c r="G6" s="9"/>
      <c r="H6" s="63"/>
      <c r="I6" s="63"/>
      <c r="J6" s="69"/>
      <c r="K6" s="88">
        <f>L2+0.5</f>
        <v>2.5</v>
      </c>
      <c r="L6" s="88">
        <f>L3+0.5</f>
        <v>0.5</v>
      </c>
      <c r="M6" s="20"/>
      <c r="O6" s="63"/>
      <c r="P6" s="63"/>
      <c r="Q6" s="69"/>
      <c r="R6" s="88">
        <f>S2+0.5</f>
        <v>2.5</v>
      </c>
      <c r="S6" s="88">
        <f>S3+0.5</f>
        <v>0.5</v>
      </c>
      <c r="T6" s="20"/>
    </row>
    <row r="7" spans="1:21" ht="41.25" customHeight="1">
      <c r="A7" s="58" t="s">
        <v>62</v>
      </c>
      <c r="B7" s="59" t="s">
        <v>12</v>
      </c>
      <c r="C7" s="155" t="s">
        <v>63</v>
      </c>
      <c r="D7" s="156"/>
      <c r="E7" s="157" t="s">
        <v>64</v>
      </c>
      <c r="F7" s="158"/>
      <c r="H7" s="58" t="s">
        <v>62</v>
      </c>
      <c r="I7" s="58" t="s">
        <v>12</v>
      </c>
      <c r="J7" s="155" t="s">
        <v>63</v>
      </c>
      <c r="K7" s="156"/>
      <c r="L7" s="157" t="s">
        <v>64</v>
      </c>
      <c r="M7" s="158"/>
      <c r="O7" s="58" t="s">
        <v>62</v>
      </c>
      <c r="P7" s="58" t="s">
        <v>12</v>
      </c>
      <c r="Q7" s="155" t="s">
        <v>63</v>
      </c>
      <c r="R7" s="156"/>
      <c r="S7" s="157" t="s">
        <v>64</v>
      </c>
      <c r="T7" s="158"/>
    </row>
    <row r="8" spans="1:21" ht="15">
      <c r="A8" s="60"/>
      <c r="B8" s="84" t="s">
        <v>23</v>
      </c>
      <c r="C8" s="145"/>
      <c r="D8" s="146"/>
      <c r="E8" s="159"/>
      <c r="F8" s="160"/>
      <c r="H8" s="60"/>
      <c r="I8" s="84" t="s">
        <v>23</v>
      </c>
      <c r="J8" s="145"/>
      <c r="K8" s="146"/>
      <c r="L8" s="147"/>
      <c r="M8" s="148"/>
      <c r="O8" s="60"/>
      <c r="P8" s="84" t="s">
        <v>23</v>
      </c>
      <c r="Q8" s="145"/>
      <c r="R8" s="146"/>
      <c r="S8" s="147"/>
      <c r="T8" s="148"/>
    </row>
    <row r="9" spans="1:21" ht="30">
      <c r="A9" s="58" t="s">
        <v>65</v>
      </c>
      <c r="B9" s="58"/>
      <c r="C9" s="58" t="s">
        <v>66</v>
      </c>
      <c r="D9" s="61" t="s">
        <v>67</v>
      </c>
      <c r="E9" s="61" t="s">
        <v>63</v>
      </c>
      <c r="F9" s="61" t="s">
        <v>68</v>
      </c>
      <c r="H9" s="58" t="s">
        <v>65</v>
      </c>
      <c r="I9" s="58"/>
      <c r="J9" s="58" t="s">
        <v>66</v>
      </c>
      <c r="K9" s="61" t="s">
        <v>67</v>
      </c>
      <c r="L9" s="61" t="s">
        <v>63</v>
      </c>
      <c r="M9" s="61" t="s">
        <v>68</v>
      </c>
      <c r="O9" s="58" t="s">
        <v>65</v>
      </c>
      <c r="P9" s="58"/>
      <c r="Q9" s="58" t="s">
        <v>66</v>
      </c>
      <c r="R9" s="61" t="s">
        <v>67</v>
      </c>
      <c r="S9" s="61" t="s">
        <v>63</v>
      </c>
      <c r="T9" s="61" t="s">
        <v>68</v>
      </c>
    </row>
    <row r="10" spans="1:21" ht="14.25">
      <c r="A10" s="143"/>
      <c r="B10" s="144"/>
      <c r="C10" s="62"/>
      <c r="D10" s="62"/>
      <c r="E10" s="87"/>
      <c r="F10" s="62"/>
      <c r="H10" s="143"/>
      <c r="I10" s="144"/>
      <c r="J10" s="62"/>
      <c r="K10" s="62"/>
      <c r="L10" s="87"/>
      <c r="M10" s="62"/>
      <c r="O10" s="143"/>
      <c r="P10" s="144"/>
      <c r="Q10" s="62"/>
      <c r="R10" s="62"/>
      <c r="S10" s="87"/>
      <c r="T10" s="62"/>
    </row>
    <row r="11" spans="1:21" ht="14.25">
      <c r="A11" s="143"/>
      <c r="B11" s="144"/>
      <c r="C11" s="62"/>
      <c r="D11" s="62"/>
      <c r="E11" s="87"/>
      <c r="F11" s="62"/>
      <c r="H11" s="143"/>
      <c r="I11" s="144"/>
      <c r="J11" s="62"/>
      <c r="K11" s="62"/>
      <c r="L11" s="87"/>
      <c r="M11" s="62"/>
      <c r="O11" s="143"/>
      <c r="P11" s="144"/>
      <c r="Q11" s="62"/>
      <c r="R11" s="62"/>
      <c r="S11" s="87"/>
      <c r="T11" s="62"/>
    </row>
    <row r="12" spans="1:21" ht="14.25">
      <c r="A12" s="143"/>
      <c r="B12" s="144"/>
      <c r="C12" s="62"/>
      <c r="D12" s="62"/>
      <c r="E12" s="87"/>
      <c r="F12" s="62"/>
      <c r="H12" s="143"/>
      <c r="I12" s="144"/>
      <c r="J12" s="62"/>
      <c r="K12" s="62"/>
      <c r="L12" s="87"/>
      <c r="M12" s="62"/>
      <c r="O12" s="143"/>
      <c r="P12" s="144"/>
      <c r="Q12" s="62"/>
      <c r="R12" s="62"/>
      <c r="S12" s="87"/>
      <c r="T12" s="62"/>
    </row>
    <row r="13" spans="1:21" ht="14.25">
      <c r="A13" s="143"/>
      <c r="B13" s="144"/>
      <c r="C13" s="62"/>
      <c r="D13" s="62"/>
      <c r="E13" s="87"/>
      <c r="F13" s="62"/>
      <c r="H13" s="143"/>
      <c r="I13" s="144"/>
      <c r="J13" s="62"/>
      <c r="K13" s="62"/>
      <c r="L13" s="87"/>
      <c r="M13" s="62"/>
      <c r="O13" s="143"/>
      <c r="P13" s="144"/>
      <c r="Q13" s="62"/>
      <c r="R13" s="62"/>
      <c r="S13" s="87"/>
      <c r="T13" s="62"/>
    </row>
    <row r="14" spans="1:21" ht="14.25">
      <c r="A14" s="143"/>
      <c r="B14" s="144"/>
      <c r="C14" s="62"/>
      <c r="D14" s="62"/>
      <c r="E14" s="87"/>
      <c r="F14" s="62"/>
      <c r="H14" s="143"/>
      <c r="I14" s="144"/>
      <c r="J14" s="62"/>
      <c r="K14" s="62"/>
      <c r="L14" s="87"/>
      <c r="M14" s="62"/>
      <c r="O14" s="143"/>
      <c r="P14" s="144"/>
      <c r="Q14" s="62"/>
      <c r="R14" s="62"/>
      <c r="S14" s="87"/>
      <c r="T14" s="62"/>
    </row>
    <row r="15" spans="1:21" ht="14.25">
      <c r="A15" s="143"/>
      <c r="B15" s="144"/>
      <c r="C15" s="62"/>
      <c r="D15" s="62"/>
      <c r="E15" s="87"/>
      <c r="F15" s="62"/>
      <c r="H15" s="143"/>
      <c r="I15" s="144"/>
      <c r="J15" s="62"/>
      <c r="K15" s="62"/>
      <c r="L15" s="87"/>
      <c r="M15" s="62"/>
      <c r="O15" s="143"/>
      <c r="P15" s="144"/>
      <c r="Q15" s="62"/>
      <c r="R15" s="62"/>
      <c r="S15" s="87"/>
      <c r="T15" s="62"/>
    </row>
    <row r="16" spans="1:21" ht="14.25">
      <c r="A16" s="143"/>
      <c r="B16" s="144"/>
      <c r="C16" s="62"/>
      <c r="D16" s="62"/>
      <c r="E16" s="87"/>
      <c r="F16" s="62"/>
      <c r="H16" s="143"/>
      <c r="I16" s="144"/>
      <c r="J16" s="62"/>
      <c r="K16" s="62"/>
      <c r="L16" s="87"/>
      <c r="M16" s="62"/>
      <c r="O16" s="143"/>
      <c r="P16" s="144"/>
      <c r="Q16" s="62"/>
      <c r="R16" s="62"/>
      <c r="S16" s="87"/>
      <c r="T16" s="62"/>
    </row>
    <row r="17" spans="1:20" ht="14.25">
      <c r="A17" s="143"/>
      <c r="B17" s="144"/>
      <c r="C17" s="62"/>
      <c r="D17" s="62"/>
      <c r="E17" s="87"/>
      <c r="F17" s="62"/>
      <c r="H17" s="143"/>
      <c r="I17" s="144"/>
      <c r="J17" s="62"/>
      <c r="K17" s="62"/>
      <c r="L17" s="87"/>
      <c r="M17" s="62"/>
      <c r="O17" s="143"/>
      <c r="P17" s="144"/>
      <c r="Q17" s="62"/>
      <c r="R17" s="62"/>
      <c r="S17" s="87"/>
      <c r="T17" s="62"/>
    </row>
    <row r="18" spans="1:20" ht="14.25">
      <c r="A18" s="143"/>
      <c r="B18" s="144"/>
      <c r="C18" s="62"/>
      <c r="D18" s="62"/>
      <c r="E18" s="87"/>
      <c r="F18" s="62"/>
      <c r="H18" s="143"/>
      <c r="I18" s="144"/>
      <c r="J18" s="62"/>
      <c r="K18" s="62"/>
      <c r="L18" s="87"/>
      <c r="M18" s="62"/>
      <c r="O18" s="143"/>
      <c r="P18" s="144"/>
      <c r="Q18" s="62"/>
      <c r="R18" s="62"/>
      <c r="S18" s="87"/>
      <c r="T18" s="62"/>
    </row>
    <row r="19" spans="1:20" ht="14.25">
      <c r="A19" s="143"/>
      <c r="B19" s="144"/>
      <c r="C19" s="62"/>
      <c r="D19" s="62"/>
      <c r="E19" s="87"/>
      <c r="F19" s="62"/>
      <c r="H19" s="143"/>
      <c r="I19" s="144"/>
      <c r="J19" s="62"/>
      <c r="K19" s="62"/>
      <c r="L19" s="87"/>
      <c r="M19" s="62"/>
      <c r="O19" s="143"/>
      <c r="P19" s="144"/>
      <c r="Q19" s="62"/>
      <c r="R19" s="62"/>
      <c r="S19" s="87"/>
      <c r="T19" s="62"/>
    </row>
    <row r="20" spans="1:20" ht="14.25">
      <c r="A20" s="143"/>
      <c r="B20" s="144"/>
      <c r="C20" s="62"/>
      <c r="D20" s="62"/>
      <c r="E20" s="87"/>
      <c r="F20" s="62"/>
      <c r="H20" s="143"/>
      <c r="I20" s="144"/>
      <c r="J20" s="62"/>
      <c r="K20" s="62"/>
      <c r="L20" s="87"/>
      <c r="M20" s="62"/>
      <c r="O20" s="143"/>
      <c r="P20" s="144"/>
      <c r="Q20" s="62"/>
      <c r="R20" s="62"/>
      <c r="S20" s="87"/>
      <c r="T20" s="62"/>
    </row>
    <row r="21" spans="1:20" ht="14.25">
      <c r="A21" s="143"/>
      <c r="B21" s="144"/>
      <c r="C21" s="62"/>
      <c r="D21" s="62"/>
      <c r="E21" s="87"/>
      <c r="F21" s="62"/>
      <c r="H21" s="143"/>
      <c r="I21" s="144"/>
      <c r="J21" s="62"/>
      <c r="K21" s="62"/>
      <c r="L21" s="87"/>
      <c r="M21" s="62"/>
      <c r="O21" s="143"/>
      <c r="P21" s="144"/>
      <c r="Q21" s="62"/>
      <c r="R21" s="62"/>
      <c r="S21" s="87"/>
      <c r="T21" s="62"/>
    </row>
    <row r="22" spans="1:20" ht="14.25">
      <c r="A22" s="143"/>
      <c r="B22" s="144"/>
      <c r="C22" s="62"/>
      <c r="D22" s="62"/>
      <c r="E22" s="87"/>
      <c r="F22" s="62"/>
      <c r="H22" s="143"/>
      <c r="I22" s="144"/>
      <c r="J22" s="62"/>
      <c r="K22" s="62"/>
      <c r="L22" s="87"/>
      <c r="M22" s="62"/>
      <c r="O22" s="143"/>
      <c r="P22" s="144"/>
      <c r="Q22" s="62"/>
      <c r="R22" s="62"/>
      <c r="S22" s="87"/>
      <c r="T22" s="62"/>
    </row>
    <row r="23" spans="1:20" ht="14.25">
      <c r="A23" s="143"/>
      <c r="B23" s="144"/>
      <c r="C23" s="62"/>
      <c r="D23" s="62"/>
      <c r="E23" s="87"/>
      <c r="F23" s="62"/>
      <c r="H23" s="143"/>
      <c r="I23" s="144"/>
      <c r="J23" s="62"/>
      <c r="K23" s="62"/>
      <c r="L23" s="87"/>
      <c r="M23" s="62"/>
      <c r="O23" s="143"/>
      <c r="P23" s="144"/>
      <c r="Q23" s="62"/>
      <c r="R23" s="62"/>
      <c r="S23" s="87"/>
      <c r="T23" s="62"/>
    </row>
    <row r="24" spans="1:20" ht="14.25">
      <c r="A24" s="143"/>
      <c r="B24" s="144"/>
      <c r="C24" s="62"/>
      <c r="D24" s="62"/>
      <c r="E24" s="87"/>
      <c r="F24" s="62"/>
      <c r="H24" s="143"/>
      <c r="I24" s="144"/>
      <c r="J24" s="62"/>
      <c r="K24" s="62"/>
      <c r="L24" s="87"/>
      <c r="M24" s="62"/>
      <c r="O24" s="143"/>
      <c r="P24" s="144"/>
      <c r="Q24" s="62"/>
      <c r="R24" s="62"/>
      <c r="S24" s="87"/>
      <c r="T24" s="62"/>
    </row>
    <row r="25" spans="1:20">
      <c r="A25" s="109"/>
    </row>
    <row r="26" spans="1:20">
      <c r="O26" s="110"/>
      <c r="P26" s="89"/>
    </row>
  </sheetData>
  <mergeCells count="60">
    <mergeCell ref="A1:B1"/>
    <mergeCell ref="A2:A3"/>
    <mergeCell ref="B2:B3"/>
    <mergeCell ref="C7:D7"/>
    <mergeCell ref="E7:F7"/>
    <mergeCell ref="L7:M7"/>
    <mergeCell ref="Q7:R7"/>
    <mergeCell ref="S7:T7"/>
    <mergeCell ref="C8:D8"/>
    <mergeCell ref="E8:F8"/>
    <mergeCell ref="J8:K8"/>
    <mergeCell ref="L8:M8"/>
    <mergeCell ref="Q8:R8"/>
    <mergeCell ref="S8:T8"/>
    <mergeCell ref="J7:K7"/>
    <mergeCell ref="A10:B10"/>
    <mergeCell ref="H10:I10"/>
    <mergeCell ref="O10:P10"/>
    <mergeCell ref="A11:B11"/>
    <mergeCell ref="H11:I11"/>
    <mergeCell ref="O11:P11"/>
    <mergeCell ref="A12:B12"/>
    <mergeCell ref="H12:I12"/>
    <mergeCell ref="O12:P12"/>
    <mergeCell ref="A13:B13"/>
    <mergeCell ref="H13:I13"/>
    <mergeCell ref="O13:P13"/>
    <mergeCell ref="A14:B14"/>
    <mergeCell ref="H14:I14"/>
    <mergeCell ref="O14:P14"/>
    <mergeCell ref="A15:B15"/>
    <mergeCell ref="H15:I15"/>
    <mergeCell ref="O15:P15"/>
    <mergeCell ref="A16:B16"/>
    <mergeCell ref="H16:I16"/>
    <mergeCell ref="O16:P16"/>
    <mergeCell ref="A17:B17"/>
    <mergeCell ref="H17:I17"/>
    <mergeCell ref="O17:P17"/>
    <mergeCell ref="A18:B18"/>
    <mergeCell ref="H18:I18"/>
    <mergeCell ref="O18:P18"/>
    <mergeCell ref="A19:B19"/>
    <mergeCell ref="H19:I19"/>
    <mergeCell ref="O19:P19"/>
    <mergeCell ref="A20:B20"/>
    <mergeCell ref="H20:I20"/>
    <mergeCell ref="O20:P20"/>
    <mergeCell ref="A21:B21"/>
    <mergeCell ref="H21:I21"/>
    <mergeCell ref="O21:P21"/>
    <mergeCell ref="A24:B24"/>
    <mergeCell ref="H24:I24"/>
    <mergeCell ref="O24:P24"/>
    <mergeCell ref="A22:B22"/>
    <mergeCell ref="H22:I22"/>
    <mergeCell ref="O22:P22"/>
    <mergeCell ref="A23:B23"/>
    <mergeCell ref="H23:I23"/>
    <mergeCell ref="O23:P23"/>
  </mergeCells>
  <conditionalFormatting sqref="K2:L3">
    <cfRule type="cellIs" dxfId="55" priority="24" stopIfTrue="1" operator="equal">
      <formula>5</formula>
    </cfRule>
    <cfRule type="cellIs" dxfId="54" priority="25" stopIfTrue="1" operator="equal">
      <formula>4</formula>
    </cfRule>
    <cfRule type="cellIs" dxfId="53" priority="26" stopIfTrue="1" operator="equal">
      <formula>3</formula>
    </cfRule>
    <cfRule type="cellIs" dxfId="52" priority="27" stopIfTrue="1" operator="equal">
      <formula>2</formula>
    </cfRule>
    <cfRule type="cellIs" dxfId="51" priority="28" stopIfTrue="1" operator="equal">
      <formula>1</formula>
    </cfRule>
  </conditionalFormatting>
  <conditionalFormatting sqref="K2:M2 K3:L3">
    <cfRule type="cellIs" dxfId="50" priority="23" stopIfTrue="1" operator="equal">
      <formula>0</formula>
    </cfRule>
  </conditionalFormatting>
  <conditionalFormatting sqref="R2:S3">
    <cfRule type="cellIs" dxfId="49" priority="18" stopIfTrue="1" operator="equal">
      <formula>5</formula>
    </cfRule>
    <cfRule type="cellIs" dxfId="48" priority="19" stopIfTrue="1" operator="equal">
      <formula>4</formula>
    </cfRule>
    <cfRule type="cellIs" dxfId="47" priority="20" stopIfTrue="1" operator="equal">
      <formula>3</formula>
    </cfRule>
    <cfRule type="cellIs" dxfId="46" priority="21" stopIfTrue="1" operator="equal">
      <formula>2</formula>
    </cfRule>
    <cfRule type="cellIs" dxfId="45" priority="22" stopIfTrue="1" operator="equal">
      <formula>1</formula>
    </cfRule>
  </conditionalFormatting>
  <conditionalFormatting sqref="R2:T2 R3:S3">
    <cfRule type="cellIs" dxfId="44" priority="17" stopIfTrue="1" operator="equal">
      <formula>0</formula>
    </cfRule>
  </conditionalFormatting>
  <conditionalFormatting sqref="F2">
    <cfRule type="cellIs" dxfId="43" priority="16" stopIfTrue="1" operator="equal">
      <formula>0</formula>
    </cfRule>
  </conditionalFormatting>
  <conditionalFormatting sqref="D2:E2">
    <cfRule type="cellIs" dxfId="42" priority="11" stopIfTrue="1" operator="equal">
      <formula>5</formula>
    </cfRule>
    <cfRule type="cellIs" dxfId="41" priority="12" stopIfTrue="1" operator="equal">
      <formula>4</formula>
    </cfRule>
    <cfRule type="cellIs" dxfId="40" priority="13" stopIfTrue="1" operator="equal">
      <formula>3</formula>
    </cfRule>
    <cfRule type="cellIs" dxfId="39" priority="14" stopIfTrue="1" operator="equal">
      <formula>2</formula>
    </cfRule>
    <cfRule type="cellIs" dxfId="38" priority="15" stopIfTrue="1" operator="equal">
      <formula>1</formula>
    </cfRule>
  </conditionalFormatting>
  <conditionalFormatting sqref="D2:E2">
    <cfRule type="cellIs" dxfId="37" priority="10" stopIfTrue="1" operator="equal">
      <formula>0</formula>
    </cfRule>
  </conditionalFormatting>
  <conditionalFormatting sqref="D3:E3">
    <cfRule type="cellIs" dxfId="36" priority="9" stopIfTrue="1" operator="equal">
      <formula>1</formula>
    </cfRule>
  </conditionalFormatting>
  <conditionalFormatting sqref="D3:E3">
    <cfRule type="cellIs" dxfId="35" priority="4" stopIfTrue="1" operator="equal">
      <formula>0</formula>
    </cfRule>
  </conditionalFormatting>
  <conditionalFormatting sqref="F3">
    <cfRule type="cellIs" dxfId="34" priority="3" stopIfTrue="1" operator="equal">
      <formula>0</formula>
    </cfRule>
  </conditionalFormatting>
  <conditionalFormatting sqref="M3">
    <cfRule type="cellIs" dxfId="33" priority="2" stopIfTrue="1" operator="equal">
      <formula>0</formula>
    </cfRule>
  </conditionalFormatting>
  <conditionalFormatting sqref="T3">
    <cfRule type="cellIs" dxfId="32" priority="1" stopIfTrue="1" operator="equal">
      <formula>0</formula>
    </cfRule>
  </conditionalFormatting>
  <conditionalFormatting sqref="D2:E3">
    <cfRule type="cellIs" dxfId="31" priority="5" stopIfTrue="1" operator="equal">
      <formula>5</formula>
    </cfRule>
    <cfRule type="cellIs" dxfId="30" priority="6" stopIfTrue="1" operator="equal">
      <formula>4</formula>
    </cfRule>
    <cfRule type="cellIs" dxfId="29" priority="7" stopIfTrue="1" operator="equal">
      <formula>3</formula>
    </cfRule>
    <cfRule type="cellIs" dxfId="28" priority="8" stopIfTrue="1" operator="equal">
      <formula>2</formula>
    </cfRule>
  </conditionalFormatting>
  <dataValidations count="3">
    <dataValidation type="date" allowBlank="1" showInputMessage="1" showErrorMessage="1" errorTitle="Not valid Date" error="Please enter valid date" sqref="S10:S24" xr:uid="{8113E8A0-B43A-45AC-B8F2-16AA96FB3088}">
      <formula1>29221</formula1>
      <formula2>109575</formula2>
    </dataValidation>
    <dataValidation type="date" allowBlank="1" showInputMessage="1" showErrorMessage="1" errorTitle="Not Valid date" error="Please enter valid date" sqref="L10:L24" xr:uid="{7F8BBAC1-8A66-41B1-A72B-12F7E3DF7BC8}">
      <formula1>29221</formula1>
      <formula2>109575</formula2>
    </dataValidation>
    <dataValidation type="date" allowBlank="1" showInputMessage="1" showErrorMessage="1" errorTitle="Not valid date" error="Please enter a valid date" sqref="E10:E24" xr:uid="{5196362A-7B7A-4A5D-ADCD-2AF92DC254BC}">
      <formula1>29221</formula1>
      <formula2>109575</formula2>
    </dataValidation>
  </dataValidations>
  <pageMargins left="0.39370077848434448" right="0.39370077848434448" top="0.39370077848434448" bottom="0.39370077848434448" header="0" footer="0"/>
  <pageSetup paperSize="9" orientation="portrait"/>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04A98-267E-4ADD-9E69-D268DF6F6076}">
  <sheetPr codeName="Sheet11">
    <outlinePr summaryBelow="0" summaryRight="0"/>
  </sheetPr>
  <dimension ref="A1:U26"/>
  <sheetViews>
    <sheetView showGridLines="0" zoomScale="70" zoomScaleNormal="70" workbookViewId="0">
      <selection activeCell="E2" sqref="E2"/>
    </sheetView>
  </sheetViews>
  <sheetFormatPr defaultColWidth="9.140625" defaultRowHeight="12.75"/>
  <cols>
    <col min="1" max="1" width="15.28515625" style="7" customWidth="1"/>
    <col min="2" max="2" width="35.140625" style="1" customWidth="1"/>
    <col min="3" max="3" width="20.5703125" style="1" bestFit="1" customWidth="1"/>
    <col min="4" max="4" width="10.42578125" style="1" customWidth="1"/>
    <col min="5" max="5" width="11.28515625" style="1" customWidth="1"/>
    <col min="6" max="6" width="9.28515625" style="1" bestFit="1" customWidth="1"/>
    <col min="7" max="7" width="3.28515625" style="1" customWidth="1"/>
    <col min="8" max="8" width="14.7109375" style="1" customWidth="1"/>
    <col min="9" max="9" width="22.5703125" style="1" customWidth="1"/>
    <col min="10" max="10" width="26.42578125" style="1" customWidth="1"/>
    <col min="11" max="11" width="11.42578125" style="1" customWidth="1"/>
    <col min="12" max="12" width="13.28515625" style="1" customWidth="1"/>
    <col min="13" max="13" width="10.5703125" style="1" customWidth="1"/>
    <col min="14" max="14" width="3.85546875" style="5" bestFit="1" customWidth="1"/>
    <col min="15" max="15" width="17.5703125" style="1" customWidth="1"/>
    <col min="16" max="16" width="20.42578125" style="1" customWidth="1"/>
    <col min="17" max="17" width="25.42578125" style="1" customWidth="1"/>
    <col min="18" max="18" width="11.7109375" style="1" customWidth="1"/>
    <col min="19" max="19" width="12.140625" style="1" customWidth="1"/>
    <col min="20" max="20" width="12.42578125" style="1" customWidth="1"/>
    <col min="21" max="22" width="9.140625" style="1" customWidth="1"/>
    <col min="23" max="16384" width="9.140625" style="1"/>
  </cols>
  <sheetData>
    <row r="1" spans="1:21" ht="15">
      <c r="A1" s="149" t="s">
        <v>24</v>
      </c>
      <c r="B1" s="150"/>
      <c r="C1" s="8" t="s">
        <v>59</v>
      </c>
      <c r="D1" s="30" t="s">
        <v>15</v>
      </c>
      <c r="E1" s="30" t="s">
        <v>47</v>
      </c>
      <c r="F1" s="30" t="s">
        <v>19</v>
      </c>
      <c r="G1" s="9"/>
      <c r="H1" s="63"/>
      <c r="I1" s="63"/>
      <c r="J1" s="8" t="s">
        <v>59</v>
      </c>
      <c r="K1" s="64" t="s">
        <v>15</v>
      </c>
      <c r="L1" s="64" t="s">
        <v>47</v>
      </c>
      <c r="M1" s="64" t="s">
        <v>19</v>
      </c>
      <c r="O1" s="63"/>
      <c r="P1" s="63"/>
      <c r="Q1" s="8" t="s">
        <v>59</v>
      </c>
      <c r="R1" s="64" t="s">
        <v>15</v>
      </c>
      <c r="S1" s="64" t="s">
        <v>47</v>
      </c>
      <c r="T1" s="64" t="s">
        <v>19</v>
      </c>
      <c r="U1" s="1">
        <v>41197</v>
      </c>
    </row>
    <row r="2" spans="1:21" ht="32.25" customHeight="1">
      <c r="A2" s="151" t="s">
        <v>13</v>
      </c>
      <c r="B2" s="153"/>
      <c r="C2" s="10" t="s">
        <v>60</v>
      </c>
      <c r="D2" s="119">
        <v>3</v>
      </c>
      <c r="E2" s="119">
        <v>4</v>
      </c>
      <c r="F2" s="120">
        <v>12</v>
      </c>
      <c r="G2" s="9"/>
      <c r="H2" s="63"/>
      <c r="I2" s="63"/>
      <c r="J2" s="10" t="s">
        <v>60</v>
      </c>
      <c r="K2" s="119">
        <v>3</v>
      </c>
      <c r="L2" s="119">
        <v>4</v>
      </c>
      <c r="M2" s="120">
        <v>12</v>
      </c>
      <c r="N2" s="6">
        <f>D3+1</f>
        <v>4</v>
      </c>
      <c r="O2" s="63"/>
      <c r="P2" s="63"/>
      <c r="Q2" s="10" t="s">
        <v>60</v>
      </c>
      <c r="R2" s="119">
        <v>3</v>
      </c>
      <c r="S2" s="119">
        <v>4</v>
      </c>
      <c r="T2" s="120">
        <v>12</v>
      </c>
    </row>
    <row r="3" spans="1:21" ht="32.25" customHeight="1">
      <c r="A3" s="152"/>
      <c r="B3" s="154"/>
      <c r="C3" s="11" t="s">
        <v>61</v>
      </c>
      <c r="D3" s="119">
        <v>3</v>
      </c>
      <c r="E3" s="119">
        <v>3</v>
      </c>
      <c r="F3" s="121">
        <f>D3*E3</f>
        <v>9</v>
      </c>
      <c r="G3" s="9"/>
      <c r="H3" s="63"/>
      <c r="I3" s="63"/>
      <c r="J3" s="11" t="s">
        <v>61</v>
      </c>
      <c r="K3" s="119">
        <v>2</v>
      </c>
      <c r="L3" s="119">
        <v>1</v>
      </c>
      <c r="M3" s="121">
        <f>K3*L3</f>
        <v>2</v>
      </c>
      <c r="N3" s="6">
        <f>E3+0.5</f>
        <v>3.5</v>
      </c>
      <c r="O3" s="63"/>
      <c r="P3" s="63"/>
      <c r="Q3" s="11" t="s">
        <v>61</v>
      </c>
      <c r="R3" s="119">
        <v>3</v>
      </c>
      <c r="S3" s="119">
        <v>2</v>
      </c>
      <c r="T3" s="121">
        <f>R3*S3</f>
        <v>6</v>
      </c>
    </row>
    <row r="4" spans="1:21" ht="54.75" customHeight="1">
      <c r="A4" s="12" t="s">
        <v>14</v>
      </c>
      <c r="B4" s="82"/>
      <c r="C4" s="13"/>
      <c r="D4" s="14"/>
      <c r="E4" s="14"/>
      <c r="F4" s="15"/>
      <c r="G4" s="9"/>
      <c r="H4" s="63"/>
      <c r="I4" s="63"/>
      <c r="J4" s="65"/>
      <c r="K4" s="66"/>
      <c r="L4" s="66"/>
      <c r="M4" s="67"/>
      <c r="N4" s="6"/>
      <c r="O4" s="63"/>
      <c r="P4" s="63"/>
      <c r="Q4" s="65"/>
      <c r="R4" s="66"/>
      <c r="S4" s="66"/>
      <c r="T4" s="67"/>
    </row>
    <row r="5" spans="1:21" ht="49.5" customHeight="1">
      <c r="A5" s="16" t="s">
        <v>15</v>
      </c>
      <c r="B5" s="82"/>
      <c r="C5" s="17"/>
      <c r="D5" s="88">
        <f>D2+1</f>
        <v>4</v>
      </c>
      <c r="E5" s="88">
        <f>D3+1</f>
        <v>4</v>
      </c>
      <c r="F5" s="18"/>
      <c r="G5" s="9"/>
      <c r="H5" s="63"/>
      <c r="I5" s="63"/>
      <c r="J5" s="68"/>
      <c r="K5" s="88">
        <f>K2+1</f>
        <v>4</v>
      </c>
      <c r="L5" s="88">
        <f>K3+1</f>
        <v>3</v>
      </c>
      <c r="M5" s="18"/>
      <c r="O5" s="63"/>
      <c r="P5" s="63"/>
      <c r="Q5" s="68"/>
      <c r="R5" s="88">
        <f>R2+1</f>
        <v>4</v>
      </c>
      <c r="S5" s="88">
        <f>R3+1</f>
        <v>4</v>
      </c>
      <c r="T5" s="18"/>
    </row>
    <row r="6" spans="1:21" ht="63" customHeight="1">
      <c r="A6" s="16" t="s">
        <v>16</v>
      </c>
      <c r="B6" s="83"/>
      <c r="C6" s="19"/>
      <c r="D6" s="88">
        <f>E2+0.5</f>
        <v>4.5</v>
      </c>
      <c r="E6" s="88">
        <f>E3+0.5</f>
        <v>3.5</v>
      </c>
      <c r="F6" s="20"/>
      <c r="G6" s="9"/>
      <c r="H6" s="63"/>
      <c r="I6" s="63"/>
      <c r="J6" s="69"/>
      <c r="K6" s="88">
        <f>L2+0.5</f>
        <v>4.5</v>
      </c>
      <c r="L6" s="88">
        <f>L3+0.5</f>
        <v>1.5</v>
      </c>
      <c r="M6" s="20"/>
      <c r="O6" s="63"/>
      <c r="P6" s="63"/>
      <c r="Q6" s="69"/>
      <c r="R6" s="88">
        <f>S2+0.5</f>
        <v>4.5</v>
      </c>
      <c r="S6" s="88">
        <f>S3+0.5</f>
        <v>2.5</v>
      </c>
      <c r="T6" s="20"/>
    </row>
    <row r="7" spans="1:21" ht="41.25" customHeight="1">
      <c r="A7" s="58" t="s">
        <v>62</v>
      </c>
      <c r="B7" s="59" t="s">
        <v>12</v>
      </c>
      <c r="C7" s="155" t="s">
        <v>63</v>
      </c>
      <c r="D7" s="156"/>
      <c r="E7" s="157" t="s">
        <v>64</v>
      </c>
      <c r="F7" s="158"/>
      <c r="H7" s="58" t="s">
        <v>62</v>
      </c>
      <c r="I7" s="58" t="s">
        <v>12</v>
      </c>
      <c r="J7" s="155" t="s">
        <v>63</v>
      </c>
      <c r="K7" s="156"/>
      <c r="L7" s="157" t="s">
        <v>64</v>
      </c>
      <c r="M7" s="158"/>
      <c r="O7" s="58" t="s">
        <v>62</v>
      </c>
      <c r="P7" s="58" t="s">
        <v>12</v>
      </c>
      <c r="Q7" s="155" t="s">
        <v>63</v>
      </c>
      <c r="R7" s="156"/>
      <c r="S7" s="157" t="s">
        <v>64</v>
      </c>
      <c r="T7" s="158"/>
    </row>
    <row r="8" spans="1:21" ht="15">
      <c r="A8" s="60" t="s">
        <v>55</v>
      </c>
      <c r="B8" s="84" t="s">
        <v>25</v>
      </c>
      <c r="C8" s="145">
        <v>43815.413518518515</v>
      </c>
      <c r="D8" s="146"/>
      <c r="E8" s="159">
        <v>200</v>
      </c>
      <c r="F8" s="160"/>
      <c r="H8" s="60" t="s">
        <v>57</v>
      </c>
      <c r="I8" s="84" t="s">
        <v>25</v>
      </c>
      <c r="J8" s="145">
        <v>43815.413518518515</v>
      </c>
      <c r="K8" s="146"/>
      <c r="L8" s="147">
        <v>200</v>
      </c>
      <c r="M8" s="148"/>
      <c r="O8" s="60" t="s">
        <v>58</v>
      </c>
      <c r="P8" s="84" t="s">
        <v>25</v>
      </c>
      <c r="Q8" s="145">
        <v>43815.413518518515</v>
      </c>
      <c r="R8" s="146"/>
      <c r="S8" s="147">
        <v>200</v>
      </c>
      <c r="T8" s="148"/>
    </row>
    <row r="9" spans="1:21" ht="30">
      <c r="A9" s="58" t="s">
        <v>65</v>
      </c>
      <c r="B9" s="58"/>
      <c r="C9" s="58" t="s">
        <v>66</v>
      </c>
      <c r="D9" s="61" t="s">
        <v>67</v>
      </c>
      <c r="E9" s="61" t="s">
        <v>63</v>
      </c>
      <c r="F9" s="61" t="s">
        <v>68</v>
      </c>
      <c r="H9" s="58" t="s">
        <v>65</v>
      </c>
      <c r="I9" s="58"/>
      <c r="J9" s="58" t="s">
        <v>66</v>
      </c>
      <c r="K9" s="61" t="s">
        <v>67</v>
      </c>
      <c r="L9" s="61" t="s">
        <v>63</v>
      </c>
      <c r="M9" s="61" t="s">
        <v>68</v>
      </c>
      <c r="O9" s="58" t="s">
        <v>65</v>
      </c>
      <c r="P9" s="58"/>
      <c r="Q9" s="58" t="s">
        <v>66</v>
      </c>
      <c r="R9" s="61" t="s">
        <v>67</v>
      </c>
      <c r="S9" s="61" t="s">
        <v>63</v>
      </c>
      <c r="T9" s="61" t="s">
        <v>68</v>
      </c>
    </row>
    <row r="10" spans="1:21" ht="14.25">
      <c r="A10" s="143"/>
      <c r="B10" s="144"/>
      <c r="C10" s="62"/>
      <c r="D10" s="62"/>
      <c r="E10" s="87"/>
      <c r="F10" s="62"/>
      <c r="H10" s="143"/>
      <c r="I10" s="144"/>
      <c r="J10" s="62"/>
      <c r="K10" s="62"/>
      <c r="L10" s="87"/>
      <c r="M10" s="62"/>
      <c r="O10" s="143"/>
      <c r="P10" s="144"/>
      <c r="Q10" s="62"/>
      <c r="R10" s="62"/>
      <c r="S10" s="87"/>
      <c r="T10" s="62"/>
    </row>
    <row r="11" spans="1:21" ht="14.25">
      <c r="A11" s="143"/>
      <c r="B11" s="144"/>
      <c r="C11" s="62"/>
      <c r="D11" s="62"/>
      <c r="E11" s="87"/>
      <c r="F11" s="62"/>
      <c r="H11" s="143"/>
      <c r="I11" s="144"/>
      <c r="J11" s="62"/>
      <c r="K11" s="62"/>
      <c r="L11" s="87"/>
      <c r="M11" s="62"/>
      <c r="O11" s="143"/>
      <c r="P11" s="144"/>
      <c r="Q11" s="62"/>
      <c r="R11" s="62"/>
      <c r="S11" s="87"/>
      <c r="T11" s="62"/>
    </row>
    <row r="12" spans="1:21" ht="14.25">
      <c r="A12" s="143"/>
      <c r="B12" s="144"/>
      <c r="C12" s="62"/>
      <c r="D12" s="62"/>
      <c r="E12" s="87"/>
      <c r="F12" s="62"/>
      <c r="H12" s="143"/>
      <c r="I12" s="144"/>
      <c r="J12" s="62"/>
      <c r="K12" s="62"/>
      <c r="L12" s="87"/>
      <c r="M12" s="62"/>
      <c r="O12" s="143"/>
      <c r="P12" s="144"/>
      <c r="Q12" s="62"/>
      <c r="R12" s="62"/>
      <c r="S12" s="87"/>
      <c r="T12" s="62"/>
    </row>
    <row r="13" spans="1:21" ht="14.25">
      <c r="A13" s="143"/>
      <c r="B13" s="144"/>
      <c r="C13" s="62"/>
      <c r="D13" s="62"/>
      <c r="E13" s="87"/>
      <c r="F13" s="62"/>
      <c r="H13" s="143"/>
      <c r="I13" s="144"/>
      <c r="J13" s="62"/>
      <c r="K13" s="62"/>
      <c r="L13" s="87"/>
      <c r="M13" s="62"/>
      <c r="O13" s="143"/>
      <c r="P13" s="144"/>
      <c r="Q13" s="62"/>
      <c r="R13" s="62"/>
      <c r="S13" s="87"/>
      <c r="T13" s="62"/>
    </row>
    <row r="14" spans="1:21" ht="14.25">
      <c r="A14" s="143"/>
      <c r="B14" s="144"/>
      <c r="C14" s="62"/>
      <c r="D14" s="62"/>
      <c r="E14" s="87"/>
      <c r="F14" s="62"/>
      <c r="H14" s="143"/>
      <c r="I14" s="144"/>
      <c r="J14" s="62"/>
      <c r="K14" s="62"/>
      <c r="L14" s="87"/>
      <c r="M14" s="62"/>
      <c r="O14" s="143"/>
      <c r="P14" s="144"/>
      <c r="Q14" s="62"/>
      <c r="R14" s="62"/>
      <c r="S14" s="87"/>
      <c r="T14" s="62"/>
    </row>
    <row r="15" spans="1:21" ht="14.25">
      <c r="A15" s="143"/>
      <c r="B15" s="144"/>
      <c r="C15" s="62"/>
      <c r="D15" s="62"/>
      <c r="E15" s="87"/>
      <c r="F15" s="62"/>
      <c r="H15" s="143"/>
      <c r="I15" s="144"/>
      <c r="J15" s="62"/>
      <c r="K15" s="62"/>
      <c r="L15" s="87"/>
      <c r="M15" s="62"/>
      <c r="O15" s="143"/>
      <c r="P15" s="144"/>
      <c r="Q15" s="62"/>
      <c r="R15" s="62"/>
      <c r="S15" s="87"/>
      <c r="T15" s="62"/>
    </row>
    <row r="16" spans="1:21" ht="14.25">
      <c r="A16" s="143"/>
      <c r="B16" s="144"/>
      <c r="C16" s="62"/>
      <c r="D16" s="62"/>
      <c r="E16" s="87"/>
      <c r="F16" s="62"/>
      <c r="H16" s="143"/>
      <c r="I16" s="144"/>
      <c r="J16" s="62"/>
      <c r="K16" s="62"/>
      <c r="L16" s="87"/>
      <c r="M16" s="62"/>
      <c r="O16" s="143"/>
      <c r="P16" s="144"/>
      <c r="Q16" s="62"/>
      <c r="R16" s="62"/>
      <c r="S16" s="87"/>
      <c r="T16" s="62"/>
    </row>
    <row r="17" spans="1:20" ht="14.25">
      <c r="A17" s="143"/>
      <c r="B17" s="144"/>
      <c r="C17" s="62"/>
      <c r="D17" s="62"/>
      <c r="E17" s="87"/>
      <c r="F17" s="62"/>
      <c r="H17" s="143"/>
      <c r="I17" s="144"/>
      <c r="J17" s="62"/>
      <c r="K17" s="62"/>
      <c r="L17" s="87"/>
      <c r="M17" s="62"/>
      <c r="O17" s="143"/>
      <c r="P17" s="144"/>
      <c r="Q17" s="62"/>
      <c r="R17" s="62"/>
      <c r="S17" s="87"/>
      <c r="T17" s="62"/>
    </row>
    <row r="18" spans="1:20" ht="14.25">
      <c r="A18" s="143"/>
      <c r="B18" s="144"/>
      <c r="C18" s="62"/>
      <c r="D18" s="62"/>
      <c r="E18" s="87"/>
      <c r="F18" s="62"/>
      <c r="H18" s="143"/>
      <c r="I18" s="144"/>
      <c r="J18" s="62"/>
      <c r="K18" s="62"/>
      <c r="L18" s="87"/>
      <c r="M18" s="62"/>
      <c r="O18" s="143"/>
      <c r="P18" s="144"/>
      <c r="Q18" s="62"/>
      <c r="R18" s="62"/>
      <c r="S18" s="87"/>
      <c r="T18" s="62"/>
    </row>
    <row r="19" spans="1:20" ht="14.25">
      <c r="A19" s="143"/>
      <c r="B19" s="144"/>
      <c r="C19" s="62"/>
      <c r="D19" s="62"/>
      <c r="E19" s="87"/>
      <c r="F19" s="62"/>
      <c r="H19" s="143"/>
      <c r="I19" s="144"/>
      <c r="J19" s="62"/>
      <c r="K19" s="62"/>
      <c r="L19" s="87"/>
      <c r="M19" s="62"/>
      <c r="O19" s="143"/>
      <c r="P19" s="144"/>
      <c r="Q19" s="62"/>
      <c r="R19" s="62"/>
      <c r="S19" s="87"/>
      <c r="T19" s="62"/>
    </row>
    <row r="20" spans="1:20" ht="14.25">
      <c r="A20" s="143"/>
      <c r="B20" s="144"/>
      <c r="C20" s="62"/>
      <c r="D20" s="62"/>
      <c r="E20" s="87"/>
      <c r="F20" s="62"/>
      <c r="H20" s="143"/>
      <c r="I20" s="144"/>
      <c r="J20" s="62"/>
      <c r="K20" s="62"/>
      <c r="L20" s="87"/>
      <c r="M20" s="62"/>
      <c r="O20" s="143"/>
      <c r="P20" s="144"/>
      <c r="Q20" s="62"/>
      <c r="R20" s="62"/>
      <c r="S20" s="87"/>
      <c r="T20" s="62"/>
    </row>
    <row r="21" spans="1:20" ht="14.25">
      <c r="A21" s="143"/>
      <c r="B21" s="144"/>
      <c r="C21" s="62"/>
      <c r="D21" s="62"/>
      <c r="E21" s="87"/>
      <c r="F21" s="62"/>
      <c r="H21" s="143"/>
      <c r="I21" s="144"/>
      <c r="J21" s="62"/>
      <c r="K21" s="62"/>
      <c r="L21" s="87"/>
      <c r="M21" s="62"/>
      <c r="O21" s="143"/>
      <c r="P21" s="144"/>
      <c r="Q21" s="62"/>
      <c r="R21" s="62"/>
      <c r="S21" s="87"/>
      <c r="T21" s="62"/>
    </row>
    <row r="22" spans="1:20" ht="14.25">
      <c r="A22" s="143"/>
      <c r="B22" s="144"/>
      <c r="C22" s="62"/>
      <c r="D22" s="62"/>
      <c r="E22" s="87"/>
      <c r="F22" s="62"/>
      <c r="H22" s="143"/>
      <c r="I22" s="144"/>
      <c r="J22" s="62"/>
      <c r="K22" s="62"/>
      <c r="L22" s="87"/>
      <c r="M22" s="62"/>
      <c r="O22" s="143"/>
      <c r="P22" s="144"/>
      <c r="Q22" s="62"/>
      <c r="R22" s="62"/>
      <c r="S22" s="87"/>
      <c r="T22" s="62"/>
    </row>
    <row r="23" spans="1:20" ht="14.25">
      <c r="A23" s="143"/>
      <c r="B23" s="144"/>
      <c r="C23" s="62"/>
      <c r="D23" s="62"/>
      <c r="E23" s="87"/>
      <c r="F23" s="62"/>
      <c r="H23" s="143"/>
      <c r="I23" s="144"/>
      <c r="J23" s="62"/>
      <c r="K23" s="62"/>
      <c r="L23" s="87"/>
      <c r="M23" s="62"/>
      <c r="O23" s="143"/>
      <c r="P23" s="144"/>
      <c r="Q23" s="62"/>
      <c r="R23" s="62"/>
      <c r="S23" s="87"/>
      <c r="T23" s="62"/>
    </row>
    <row r="24" spans="1:20" ht="14.25">
      <c r="A24" s="143"/>
      <c r="B24" s="144"/>
      <c r="C24" s="62"/>
      <c r="D24" s="62"/>
      <c r="E24" s="87"/>
      <c r="F24" s="62"/>
      <c r="H24" s="143"/>
      <c r="I24" s="144"/>
      <c r="J24" s="62"/>
      <c r="K24" s="62"/>
      <c r="L24" s="87"/>
      <c r="M24" s="62"/>
      <c r="O24" s="143"/>
      <c r="P24" s="144"/>
      <c r="Q24" s="62"/>
      <c r="R24" s="62"/>
      <c r="S24" s="87"/>
      <c r="T24" s="62"/>
    </row>
    <row r="25" spans="1:20">
      <c r="A25" s="109"/>
    </row>
    <row r="26" spans="1:20">
      <c r="O26" s="110"/>
      <c r="P26" s="89"/>
    </row>
  </sheetData>
  <mergeCells count="60">
    <mergeCell ref="A1:B1"/>
    <mergeCell ref="A2:A3"/>
    <mergeCell ref="B2:B3"/>
    <mergeCell ref="C7:D7"/>
    <mergeCell ref="E7:F7"/>
    <mergeCell ref="L7:M7"/>
    <mergeCell ref="Q7:R7"/>
    <mergeCell ref="S7:T7"/>
    <mergeCell ref="C8:D8"/>
    <mergeCell ref="E8:F8"/>
    <mergeCell ref="J8:K8"/>
    <mergeCell ref="L8:M8"/>
    <mergeCell ref="Q8:R8"/>
    <mergeCell ref="S8:T8"/>
    <mergeCell ref="J7:K7"/>
    <mergeCell ref="A10:B10"/>
    <mergeCell ref="H10:I10"/>
    <mergeCell ref="O10:P10"/>
    <mergeCell ref="A11:B11"/>
    <mergeCell ref="H11:I11"/>
    <mergeCell ref="O11:P11"/>
    <mergeCell ref="A12:B12"/>
    <mergeCell ref="H12:I12"/>
    <mergeCell ref="O12:P12"/>
    <mergeCell ref="A13:B13"/>
    <mergeCell ref="H13:I13"/>
    <mergeCell ref="O13:P13"/>
    <mergeCell ref="A14:B14"/>
    <mergeCell ref="H14:I14"/>
    <mergeCell ref="O14:P14"/>
    <mergeCell ref="A15:B15"/>
    <mergeCell ref="H15:I15"/>
    <mergeCell ref="O15:P15"/>
    <mergeCell ref="A16:B16"/>
    <mergeCell ref="H16:I16"/>
    <mergeCell ref="O16:P16"/>
    <mergeCell ref="A17:B17"/>
    <mergeCell ref="H17:I17"/>
    <mergeCell ref="O17:P17"/>
    <mergeCell ref="A18:B18"/>
    <mergeCell ref="H18:I18"/>
    <mergeCell ref="O18:P18"/>
    <mergeCell ref="A19:B19"/>
    <mergeCell ref="H19:I19"/>
    <mergeCell ref="O19:P19"/>
    <mergeCell ref="A20:B20"/>
    <mergeCell ref="H20:I20"/>
    <mergeCell ref="O20:P20"/>
    <mergeCell ref="A21:B21"/>
    <mergeCell ref="H21:I21"/>
    <mergeCell ref="O21:P21"/>
    <mergeCell ref="A24:B24"/>
    <mergeCell ref="H24:I24"/>
    <mergeCell ref="O24:P24"/>
    <mergeCell ref="A22:B22"/>
    <mergeCell ref="H22:I22"/>
    <mergeCell ref="O22:P22"/>
    <mergeCell ref="A23:B23"/>
    <mergeCell ref="H23:I23"/>
    <mergeCell ref="O23:P23"/>
  </mergeCells>
  <conditionalFormatting sqref="K2:L3">
    <cfRule type="cellIs" dxfId="27" priority="24" stopIfTrue="1" operator="equal">
      <formula>5</formula>
    </cfRule>
    <cfRule type="cellIs" dxfId="26" priority="25" stopIfTrue="1" operator="equal">
      <formula>4</formula>
    </cfRule>
    <cfRule type="cellIs" dxfId="25" priority="26" stopIfTrue="1" operator="equal">
      <formula>3</formula>
    </cfRule>
    <cfRule type="cellIs" dxfId="24" priority="27" stopIfTrue="1" operator="equal">
      <formula>2</formula>
    </cfRule>
    <cfRule type="cellIs" dxfId="23" priority="28" stopIfTrue="1" operator="equal">
      <formula>1</formula>
    </cfRule>
  </conditionalFormatting>
  <conditionalFormatting sqref="K2:M2 K3:L3">
    <cfRule type="cellIs" dxfId="22" priority="23" stopIfTrue="1" operator="equal">
      <formula>0</formula>
    </cfRule>
  </conditionalFormatting>
  <conditionalFormatting sqref="R2:S3">
    <cfRule type="cellIs" dxfId="21" priority="18" stopIfTrue="1" operator="equal">
      <formula>5</formula>
    </cfRule>
    <cfRule type="cellIs" dxfId="20" priority="19" stopIfTrue="1" operator="equal">
      <formula>4</formula>
    </cfRule>
    <cfRule type="cellIs" dxfId="19" priority="20" stopIfTrue="1" operator="equal">
      <formula>3</formula>
    </cfRule>
    <cfRule type="cellIs" dxfId="18" priority="21" stopIfTrue="1" operator="equal">
      <formula>2</formula>
    </cfRule>
    <cfRule type="cellIs" dxfId="17" priority="22" stopIfTrue="1" operator="equal">
      <formula>1</formula>
    </cfRule>
  </conditionalFormatting>
  <conditionalFormatting sqref="R2:T2 R3:S3">
    <cfRule type="cellIs" dxfId="16" priority="17" stopIfTrue="1" operator="equal">
      <formula>0</formula>
    </cfRule>
  </conditionalFormatting>
  <conditionalFormatting sqref="F2">
    <cfRule type="cellIs" dxfId="15" priority="16" stopIfTrue="1" operator="equal">
      <formula>0</formula>
    </cfRule>
  </conditionalFormatting>
  <conditionalFormatting sqref="D2:E2">
    <cfRule type="cellIs" dxfId="14" priority="11" stopIfTrue="1" operator="equal">
      <formula>5</formula>
    </cfRule>
    <cfRule type="cellIs" dxfId="13" priority="12" stopIfTrue="1" operator="equal">
      <formula>4</formula>
    </cfRule>
    <cfRule type="cellIs" dxfId="12" priority="13" stopIfTrue="1" operator="equal">
      <formula>3</formula>
    </cfRule>
    <cfRule type="cellIs" dxfId="11" priority="14" stopIfTrue="1" operator="equal">
      <formula>2</formula>
    </cfRule>
    <cfRule type="cellIs" dxfId="10" priority="15" stopIfTrue="1" operator="equal">
      <formula>1</formula>
    </cfRule>
  </conditionalFormatting>
  <conditionalFormatting sqref="D2:E2">
    <cfRule type="cellIs" dxfId="9" priority="10" stopIfTrue="1" operator="equal">
      <formula>0</formula>
    </cfRule>
  </conditionalFormatting>
  <conditionalFormatting sqref="D3:E3">
    <cfRule type="cellIs" dxfId="8" priority="9" stopIfTrue="1" operator="equal">
      <formula>1</formula>
    </cfRule>
  </conditionalFormatting>
  <conditionalFormatting sqref="D3:E3">
    <cfRule type="cellIs" dxfId="7" priority="4" stopIfTrue="1" operator="equal">
      <formula>0</formula>
    </cfRule>
  </conditionalFormatting>
  <conditionalFormatting sqref="F3">
    <cfRule type="cellIs" dxfId="6" priority="3" stopIfTrue="1" operator="equal">
      <formula>0</formula>
    </cfRule>
  </conditionalFormatting>
  <conditionalFormatting sqref="M3">
    <cfRule type="cellIs" dxfId="5" priority="2" stopIfTrue="1" operator="equal">
      <formula>0</formula>
    </cfRule>
  </conditionalFormatting>
  <conditionalFormatting sqref="T3">
    <cfRule type="cellIs" dxfId="4" priority="1" stopIfTrue="1" operator="equal">
      <formula>0</formula>
    </cfRule>
  </conditionalFormatting>
  <conditionalFormatting sqref="D2:E3">
    <cfRule type="cellIs" dxfId="3" priority="5" stopIfTrue="1" operator="equal">
      <formula>5</formula>
    </cfRule>
    <cfRule type="cellIs" dxfId="2" priority="6" stopIfTrue="1" operator="equal">
      <formula>4</formula>
    </cfRule>
    <cfRule type="cellIs" dxfId="1" priority="7" stopIfTrue="1" operator="equal">
      <formula>3</formula>
    </cfRule>
    <cfRule type="cellIs" dxfId="0" priority="8" stopIfTrue="1" operator="equal">
      <formula>2</formula>
    </cfRule>
  </conditionalFormatting>
  <dataValidations count="3">
    <dataValidation type="date" allowBlank="1" showInputMessage="1" showErrorMessage="1" errorTitle="Not valid Date" error="Please enter valid date" sqref="S10:S24" xr:uid="{24D678DF-1544-4F03-BD36-3A9B457DC2C0}">
      <formula1>29221</formula1>
      <formula2>109575</formula2>
    </dataValidation>
    <dataValidation type="date" allowBlank="1" showInputMessage="1" showErrorMessage="1" errorTitle="Not Valid date" error="Please enter valid date" sqref="L10:L24" xr:uid="{35D6123C-4663-4975-A8BA-61499248B8CE}">
      <formula1>29221</formula1>
      <formula2>109575</formula2>
    </dataValidation>
    <dataValidation type="date" allowBlank="1" showInputMessage="1" showErrorMessage="1" errorTitle="Not valid date" error="Please enter a valid date" sqref="E10:E24" xr:uid="{DFF2243F-61E9-43AE-A43F-47D5097FAB7C}">
      <formula1>29221</formula1>
      <formula2>109575</formula2>
    </dataValidation>
  </dataValidations>
  <pageMargins left="0.39370077848434448" right="0.39370077848434448" top="0.39370077848434448" bottom="0.39370077848434448" header="0" footer="0"/>
  <pageSetup paperSize="9"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Disclaimer</vt:lpstr>
      <vt:lpstr>RiskRegisterWithScope</vt:lpstr>
      <vt:lpstr>Read Me</vt:lpstr>
      <vt:lpstr>Risk Matrices</vt:lpstr>
      <vt:lpstr>Source of Risk</vt:lpstr>
      <vt:lpstr>GRS Before &amp; After</vt:lpstr>
      <vt:lpstr>Data</vt:lpstr>
      <vt:lpstr>IP (X)</vt:lpstr>
      <vt:lpstr>IP (1) Process design or execut</vt:lpstr>
      <vt:lpstr>IP (2) Inaction</vt:lpstr>
      <vt:lpstr>IP (3) Disasters</vt:lpstr>
      <vt:lpstr>'GRS Before &amp; After'!Print_Area</vt:lpstr>
      <vt:lpstr>'Read Me'!Print_Area</vt:lpstr>
      <vt:lpstr>RiskRegisterWithScope!Print_Area</vt:lpstr>
      <vt:lpstr>'Source of Risk'!Print_Area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Osgood, Elizabeth</dc:creator>
  <cp:lastModifiedBy>Dhamale, Sandeep</cp:lastModifiedBy>
  <cp:lastPrinted>2018-04-11T15:25:07Z</cp:lastPrinted>
  <dcterms:created xsi:type="dcterms:W3CDTF">2016-06-02T14:42:24Z</dcterms:created>
  <dcterms:modified xsi:type="dcterms:W3CDTF">2019-12-17T17:16:38Z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1148909867</vt:i4>
  </property>
  <property fmtid="{D5CDD505-2E9C-101B-9397-08002B2CF9AE}" pid="3" name="_NewReviewCycle">
    <vt:lpwstr/>
  </property>
  <property fmtid="{D5CDD505-2E9C-101B-9397-08002B2CF9AE}" pid="4" name="_EmailSubject">
    <vt:lpwstr>excel template</vt:lpwstr>
  </property>
  <property fmtid="{D5CDD505-2E9C-101B-9397-08002B2CF9AE}" pid="5" name="_AuthorEmail">
    <vt:lpwstr>Prasenjit.Mohanty@willistowerswatson.com</vt:lpwstr>
  </property>
  <property fmtid="{D5CDD505-2E9C-101B-9397-08002B2CF9AE}" pid="6" name="_AuthorEmailDisplayName">
    <vt:lpwstr>Mohanty, Prasenjit</vt:lpwstr>
  </property>
  <property fmtid="{D5CDD505-2E9C-101B-9397-08002B2CF9AE}" pid="7" name="_PreviousAdHocReviewCycleID">
    <vt:i4>1148909867</vt:i4>
  </property>
  <property fmtid="{D5CDD505-2E9C-101B-9397-08002B2CF9AE}" pid="8" name="_ReviewingToolsShownOnce">
    <vt:lpwstr/>
  </property>
  <property fmtid="{D5CDD505-2E9C-101B-9397-08002B2CF9AE}" pid="9" name="MSIP_Label_9c700311-1b20-487f-9129-30717d50ca8e_Enabled">
    <vt:lpwstr>True</vt:lpwstr>
  </property>
  <property fmtid="{D5CDD505-2E9C-101B-9397-08002B2CF9AE}" pid="10" name="MSIP_Label_9c700311-1b20-487f-9129-30717d50ca8e_SiteId">
    <vt:lpwstr>76e3921f-489b-4b7e-9547-9ea297add9b5</vt:lpwstr>
  </property>
  <property fmtid="{D5CDD505-2E9C-101B-9397-08002B2CF9AE}" pid="11" name="MSIP_Label_9c700311-1b20-487f-9129-30717d50ca8e_Owner">
    <vt:lpwstr>naushad.malik@willistowerswatson.com</vt:lpwstr>
  </property>
  <property fmtid="{D5CDD505-2E9C-101B-9397-08002B2CF9AE}" pid="12" name="MSIP_Label_9c700311-1b20-487f-9129-30717d50ca8e_SetDate">
    <vt:lpwstr>2019-06-19T19:13:36.2851101Z</vt:lpwstr>
  </property>
  <property fmtid="{D5CDD505-2E9C-101B-9397-08002B2CF9AE}" pid="13" name="MSIP_Label_9c700311-1b20-487f-9129-30717d50ca8e_Name">
    <vt:lpwstr>Confidential</vt:lpwstr>
  </property>
  <property fmtid="{D5CDD505-2E9C-101B-9397-08002B2CF9AE}" pid="14" name="MSIP_Label_9c700311-1b20-487f-9129-30717d50ca8e_Application">
    <vt:lpwstr>Microsoft Azure Information Protection</vt:lpwstr>
  </property>
  <property fmtid="{D5CDD505-2E9C-101B-9397-08002B2CF9AE}" pid="15" name="MSIP_Label_9c700311-1b20-487f-9129-30717d50ca8e_Extended_MSFT_Method">
    <vt:lpwstr>Automatic</vt:lpwstr>
  </property>
  <property fmtid="{D5CDD505-2E9C-101B-9397-08002B2CF9AE}" pid="16" name="MSIP_Label_d347b247-e90e-43a3-9d7b-004f14ae6873_Enabled">
    <vt:lpwstr>True</vt:lpwstr>
  </property>
  <property fmtid="{D5CDD505-2E9C-101B-9397-08002B2CF9AE}" pid="17" name="MSIP_Label_d347b247-e90e-43a3-9d7b-004f14ae6873_SiteId">
    <vt:lpwstr>76e3921f-489b-4b7e-9547-9ea297add9b5</vt:lpwstr>
  </property>
  <property fmtid="{D5CDD505-2E9C-101B-9397-08002B2CF9AE}" pid="18" name="MSIP_Label_d347b247-e90e-43a3-9d7b-004f14ae6873_Owner">
    <vt:lpwstr>naushad.malik@willistowerswatson.com</vt:lpwstr>
  </property>
  <property fmtid="{D5CDD505-2E9C-101B-9397-08002B2CF9AE}" pid="19" name="MSIP_Label_d347b247-e90e-43a3-9d7b-004f14ae6873_SetDate">
    <vt:lpwstr>2019-06-19T19:13:36.2851101Z</vt:lpwstr>
  </property>
  <property fmtid="{D5CDD505-2E9C-101B-9397-08002B2CF9AE}" pid="20" name="MSIP_Label_d347b247-e90e-43a3-9d7b-004f14ae6873_Name">
    <vt:lpwstr>Anyone (No Protection)</vt:lpwstr>
  </property>
  <property fmtid="{D5CDD505-2E9C-101B-9397-08002B2CF9AE}" pid="21" name="MSIP_Label_d347b247-e90e-43a3-9d7b-004f14ae6873_Application">
    <vt:lpwstr>Microsoft Azure Information Protection</vt:lpwstr>
  </property>
  <property fmtid="{D5CDD505-2E9C-101B-9397-08002B2CF9AE}" pid="22" name="MSIP_Label_d347b247-e90e-43a3-9d7b-004f14ae6873_Parent">
    <vt:lpwstr>9c700311-1b20-487f-9129-30717d50ca8e</vt:lpwstr>
  </property>
  <property fmtid="{D5CDD505-2E9C-101B-9397-08002B2CF9AE}" pid="23" name="MSIP_Label_d347b247-e90e-43a3-9d7b-004f14ae6873_Extended_MSFT_Method">
    <vt:lpwstr>Automatic</vt:lpwstr>
  </property>
  <property fmtid="{D5CDD505-2E9C-101B-9397-08002B2CF9AE}" pid="24" name="Sensitivity">
    <vt:lpwstr>Confidential Anyone (No Protection)</vt:lpwstr>
  </property>
</Properties>
</file>