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24.xml"/>
  <Override ContentType="application/vnd.openxmlformats-officedocument.drawing+xml" PartName="/xl/drawings/drawing1.xml"/>
  <Override ContentType="application/vnd.openxmlformats-officedocument.drawingml.chart+xml" PartName="/xl/charts/chart1.xml"/>
  <Override ContentType="application/vnd.openxmlformats-officedocument.drawing+xml" PartName="/xl/drawings/drawing2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+xml" PartName="/xl/drawings/drawing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drawing+xml" PartName="/xl/drawings/drawing24.xml"/>
  <Override ContentType="application/vnd.openxmlformats-officedocument.drawingml.chart+xml" PartName="/xl/charts/chart7.xml"/>
  <Override ContentType="application/vnd.openxmlformats-officedocument.spreadsheetml.worksheet+xml" PartName="/xl/worksheets/sheet25.xml"/>
  <Override ContentType="application/vnd.openxmlformats-officedocument.drawing+xml" PartName="/xl/drawings/drawing25.xml"/>
  <Override ContentType="application/vnd.openxmlformats-officedocument.drawingml.chart+xml" PartName="/xl/charts/chart8.xml"/>
  <Override ContentType="application/vnd.openxmlformats-officedocument.spreadsheetml.worksheet+xml" PartName="/xl/worksheets/sheet26.xml"/>
  <Override ContentType="application/vnd.openxmlformats-officedocument.drawing+xml" PartName="/xl/drawings/drawing26.xml"/>
  <Override ContentType="application/vnd.openxmlformats-officedocument.drawingml.chart+xml" PartName="/xl/charts/chart9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PD Repository\Dev_Working\WTW.RAPID.REPORTS\XL\Templates\"/>
    </mc:Choice>
  </mc:AlternateContent>
  <xr:revisionPtr revIDLastSave="0" documentId="10_ncr:100000_{F0AA31F6-CC6D-4BD7-A2AB-70FD2A1D7C0F}" xr6:coauthVersionLast="31" xr6:coauthVersionMax="31" xr10:uidLastSave="{00000000-0000-0000-0000-000000000000}"/>
  <bookViews>
    <workbookView xWindow="8856" yWindow="36" windowWidth="10356" windowHeight="7680" tabRatio="890" activeTab="1" xr2:uid="{00000000-000D-0000-FFFF-FFFF00000000}"/>
  </bookViews>
  <sheets>
    <sheet name="RiskRegisterWithScope" sheetId="1" r:id="rId1"/>
    <sheet name="Risk Matrices" sheetId="21" r:id="rId2"/>
    <sheet name="Source of Risk" sheetId="16" r:id="rId3"/>
    <sheet name="Vulnerabilities" sheetId="19" r:id="rId4"/>
    <sheet name="GRS Before &amp; After" sheetId="17" r:id="rId5"/>
    <sheet name="L I Bubble" sheetId="18" r:id="rId6"/>
    <sheet name="IP (X)" sheetId="14" state="hidden" r:id="rId7"/>
    <sheet name="IP (1) Risk 3" sheetId="24" r:id="rId14"/>
    <sheet name="IP (2) Risk 2" sheetId="25" r:id="rId15"/>
    <sheet name="IP (3) Risk 1" sheetId="26" r:id="rId16"/>
  </sheets>
  <definedNames>
    <definedName name="_xlnm._FilterDatabase" localSheetId="0" hidden="1">'RiskRegisterWithScope'!$A$4:$M$4</definedName>
    <definedName name="_xlnm.Print_Area" localSheetId="0">'RiskRegisterWithScope'!$A$1:$M$4</definedName>
    <definedName name="_xlnm.Print_Area" localSheetId="2">'Source of Risk'!$B$1:$I$25</definedName>
    <definedName name="_xlnm._FilterDatabase" localSheetId="3" hidden="1">'Vulnerabilities'!$A$1:$D$1</definedName>
    <definedName name="_xlnm.Print_Area" localSheetId="3">'Vulnerabilities'!$A$1:$D$27</definedName>
    <definedName name="_xlnm._FilterDatabase" localSheetId="4" hidden="1">'GRS Before &amp; After'!$A$1:$D$1</definedName>
    <definedName name="_xlnm.Print_Area" localSheetId="4">'GRS Before &amp; After'!$A$1:$D$31</definedName>
    <definedName name="_xlnm.Print_Area" localSheetId="5">'L I Bubble'!$A$2:$S$28</definedName>
    <definedName name="_xlnm.Print_Area" localSheetId="7">'IP (1) Risk 3'!$A$1:$G$14</definedName>
    <definedName name="_xlnm.Print_Area" localSheetId="8">'IP (2) Risk 2'!$A$1:$G$14</definedName>
    <definedName name="_xlnm.Print_Area" localSheetId="9">'IP (3) Risk 1'!$A$1:$G$14</definedName>
  </definedNames>
  <calcPr calcId="179017" iterateDelta="0" fullCalcOnLoad="1"/>
</workbook>
</file>

<file path=xl/sharedStrings.xml><?xml version="1.0" encoding="utf-8"?>
<sst xmlns="http://schemas.openxmlformats.org/spreadsheetml/2006/main" count="91" uniqueCount="91">
  <si>
    <t>#</t>
  </si>
  <si>
    <t>Risk Name</t>
  </si>
  <si>
    <t>GRS</t>
  </si>
  <si>
    <t>Risk Matrix - Before Improvements</t>
  </si>
  <si>
    <t>Before</t>
  </si>
  <si>
    <t>After</t>
  </si>
  <si>
    <t>Likelihood</t>
  </si>
  <si>
    <t>I</t>
  </si>
  <si>
    <t>L</t>
  </si>
  <si>
    <t>Impact</t>
  </si>
  <si>
    <t>Risk Matrix - After Improvements</t>
  </si>
  <si>
    <t>Category</t>
  </si>
  <si>
    <t>GRS &gt;= 15</t>
  </si>
  <si>
    <t>GRS &gt;= 10</t>
  </si>
  <si>
    <t>GRS &gt;= 7</t>
  </si>
  <si>
    <t>GRS &gt;= 1</t>
  </si>
  <si>
    <t>Total</t>
  </si>
  <si>
    <t>Failed Internal Processes</t>
  </si>
  <si>
    <t>Actions of People</t>
  </si>
  <si>
    <t>External Events</t>
  </si>
  <si>
    <t xml:space="preserve">Risk Assessment for : </t>
  </si>
  <si>
    <t>Xxxxx Corp</t>
  </si>
  <si>
    <t xml:space="preserve">Workshop Date : </t>
  </si>
  <si>
    <t xml:space="preserve">Business Objective : </t>
  </si>
  <si>
    <t>This Run Is Created For datradatra</t>
  </si>
  <si>
    <t>Before IP</t>
  </si>
  <si>
    <t>After IP</t>
  </si>
  <si>
    <t>Vulnerabilities</t>
  </si>
  <si>
    <t>Threats</t>
  </si>
  <si>
    <t>Risk Mitigation</t>
  </si>
  <si>
    <t>Disasters</t>
  </si>
  <si>
    <t>Inaction</t>
  </si>
  <si>
    <t>Process design or execution</t>
  </si>
  <si>
    <t xml:space="preserve"> </t>
  </si>
  <si>
    <t>GRS Before Improvements</t>
  </si>
  <si>
    <t>GRS After Improvements</t>
  </si>
  <si>
    <t>GRS Before</t>
  </si>
  <si>
    <t>GRS After</t>
  </si>
  <si>
    <t>% Change</t>
  </si>
  <si>
    <t>All</t>
  </si>
  <si>
    <t>Risk Scores</t>
  </si>
  <si>
    <t>Before Improvement</t>
  </si>
  <si>
    <t>After Improvement</t>
  </si>
  <si>
    <t>Improvement Plan Name</t>
  </si>
  <si>
    <t>Responsible</t>
  </si>
  <si>
    <t>Estimated Cost</t>
  </si>
  <si>
    <t>plan three</t>
  </si>
  <si>
    <t>Action</t>
  </si>
  <si>
    <t>Measure of Success</t>
  </si>
  <si>
    <t>Allocated to</t>
  </si>
  <si>
    <t>Delivery Date</t>
  </si>
  <si>
    <t>Comments</t>
  </si>
  <si>
    <t>Underlying Vulnerability:</t>
  </si>
  <si>
    <t>Trigger:</t>
  </si>
  <si>
    <t>Consequences:</t>
  </si>
  <si>
    <t>Current Controls:</t>
  </si>
  <si>
    <t>Delivery</t>
  </si>
  <si>
    <t>Likelihood / Impact Risk Distribution</t>
  </si>
  <si>
    <t>This data is updated automatically from the RR tab</t>
  </si>
  <si>
    <t>Bubble size indicates how many risks intersect at that point</t>
  </si>
  <si>
    <t>Combination</t>
  </si>
  <si>
    <t>Count</t>
  </si>
  <si>
    <t>With Current Controls</t>
  </si>
  <si>
    <t>After Improvements</t>
  </si>
  <si>
    <t>1,1</t>
  </si>
  <si>
    <t>1,2</t>
  </si>
  <si>
    <t>1,3</t>
  </si>
  <si>
    <t>1,4</t>
  </si>
  <si>
    <t>1,5</t>
  </si>
  <si>
    <t>2,1</t>
  </si>
  <si>
    <t>2,2</t>
  </si>
  <si>
    <t>2,3</t>
  </si>
  <si>
    <t>2,4</t>
  </si>
  <si>
    <t>2,5</t>
  </si>
  <si>
    <t>3,1</t>
  </si>
  <si>
    <t>3,2</t>
  </si>
  <si>
    <t>3,3</t>
  </si>
  <si>
    <t>3,4</t>
  </si>
  <si>
    <t>3,5</t>
  </si>
  <si>
    <t>4,1</t>
  </si>
  <si>
    <t>4,2</t>
  </si>
  <si>
    <t>4,3</t>
  </si>
  <si>
    <t>4,4</t>
  </si>
  <si>
    <t>4,5</t>
  </si>
  <si>
    <t>5,1</t>
  </si>
  <si>
    <t>5,2</t>
  </si>
  <si>
    <t>5,3</t>
  </si>
  <si>
    <t>5,4</t>
  </si>
  <si>
    <t>5,5</t>
  </si>
  <si>
    <t>This data is updated automatically from the risk register</t>
  </si>
  <si>
    <t>plan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</si>
</sst>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010409]General"/>
    <numFmt numFmtId="165" formatCode="[$-1010409]dd\ mmm\ yyyy"/>
  </numFmts>
  <fonts count="45">
    <font>
      <sz val="10"/>
      <name val="Arial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i/>
      <sz val="10"/>
      <color indexed="8"/>
      <name val="Arial"/>
      <family val="2"/>
    </font>
    <font>
      <sz val="9"/>
      <color indexed="8"/>
      <name val="Arial"/>
      <family val="2"/>
    </font>
    <font>
      <sz val="10"/>
      <name val="Arial"/>
      <family val="2"/>
    </font>
    <font>
      <b/>
      <sz val="9"/>
      <color indexed="8"/>
      <name val="Arial"/>
      <family val="2"/>
    </font>
    <font>
      <sz val="9"/>
      <name val="Arial"/>
      <family val="2"/>
    </font>
    <font>
      <b/>
      <sz val="20"/>
      <name val="Arial"/>
      <family val="2"/>
    </font>
    <font>
      <b/>
      <u/>
      <sz val="14"/>
      <name val="Arial"/>
      <family val="2"/>
    </font>
    <font>
      <b/>
      <sz val="9"/>
      <name val="Arial"/>
      <family val="2"/>
    </font>
    <font>
      <b/>
      <sz val="22"/>
      <name val="Arial"/>
      <family val="2"/>
    </font>
    <font>
      <b/>
      <u/>
      <sz val="18"/>
      <name val="Arial"/>
      <family val="2"/>
    </font>
    <font>
      <sz val="16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0"/>
      <name val="Arial"/>
      <family val="2"/>
    </font>
    <font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1"/>
      <color theme="0"/>
      <name val="Arial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sz val="8"/>
      <color theme="0"/>
      <name val="Arial"/>
      <family val="2"/>
    </font>
    <font>
      <sz val="11"/>
      <color rgb="FF000000"/>
      <name val="Arial"/>
      <family val="2"/>
    </font>
    <font>
      <sz val="9"/>
      <color rgb="FF000000"/>
      <name val="Arial"/>
      <family val="2"/>
    </font>
    <font>
      <b/>
      <sz val="10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31E22"/>
        <bgColor indexed="64"/>
      </patternFill>
    </fill>
    <fill>
      <patternFill patternType="solid">
        <fgColor rgb="FFFF8500"/>
        <bgColor indexed="64"/>
      </patternFill>
    </fill>
    <fill>
      <patternFill patternType="solid">
        <fgColor rgb="FF889E0A"/>
        <bgColor indexed="64"/>
      </patternFill>
    </fill>
    <fill>
      <patternFill patternType="solid">
        <fgColor rgb="FFFFB81C"/>
        <bgColor indexed="64"/>
      </patternFill>
    </fill>
    <fill>
      <patternFill patternType="solid">
        <fgColor rgb="FF00C389"/>
        <bgColor indexed="64"/>
      </patternFill>
    </fill>
    <fill>
      <patternFill patternType="solid">
        <fgColor rgb="FF009865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/>
      <right style="thin"/>
      <top style="thin"/>
      <bottom style="thin"/>
      <diagonal/>
    </border>
    <border>
      <left/>
      <right/>
      <top/>
      <bottom/>
      <diagonal/>
    </border>
  </borders>
  <cellStyleXfs count="46">
    <xf numFmtId="0" fontId="0" fillId="0" borderId="0">
      <alignment wrapText="1"/>
    </xf>
    <xf numFmtId="0" fontId="15" fillId="6" borderId="0"/>
    <xf numFmtId="0" fontId="15" fillId="7" borderId="0"/>
    <xf numFmtId="0" fontId="15" fillId="8" borderId="0"/>
    <xf numFmtId="0" fontId="15" fillId="9" borderId="0"/>
    <xf numFmtId="0" fontId="15" fillId="10" borderId="0"/>
    <xf numFmtId="0" fontId="15" fillId="11" borderId="0"/>
    <xf numFmtId="0" fontId="15" fillId="12" borderId="0"/>
    <xf numFmtId="0" fontId="15" fillId="13" borderId="0"/>
    <xf numFmtId="0" fontId="15" fillId="14" borderId="0"/>
    <xf numFmtId="0" fontId="15" fillId="15" borderId="0"/>
    <xf numFmtId="0" fontId="15" fillId="16" borderId="0"/>
    <xf numFmtId="0" fontId="15" fillId="17" borderId="0"/>
    <xf numFmtId="0" fontId="16" fillId="18" borderId="0"/>
    <xf numFmtId="0" fontId="16" fillId="19" borderId="0"/>
    <xf numFmtId="0" fontId="16" fillId="20" borderId="0"/>
    <xf numFmtId="0" fontId="16" fillId="21" borderId="0"/>
    <xf numFmtId="0" fontId="16" fillId="22" borderId="0"/>
    <xf numFmtId="0" fontId="16" fillId="23" borderId="0"/>
    <xf numFmtId="0" fontId="16" fillId="24" borderId="0"/>
    <xf numFmtId="0" fontId="16" fillId="25" borderId="0"/>
    <xf numFmtId="0" fontId="16" fillId="26" borderId="0"/>
    <xf numFmtId="0" fontId="16" fillId="27" borderId="0"/>
    <xf numFmtId="0" fontId="16" fillId="28" borderId="0"/>
    <xf numFmtId="0" fontId="16" fillId="29" borderId="0"/>
    <xf numFmtId="0" fontId="17" fillId="30" borderId="0"/>
    <xf numFmtId="0" fontId="18" fillId="31" borderId="16"/>
    <xf numFmtId="0" fontId="19" fillId="32" borderId="17"/>
    <xf numFmtId="0" fontId="20" fillId="0" borderId="0"/>
    <xf numFmtId="0" fontId="21" fillId="33" borderId="0"/>
    <xf numFmtId="0" fontId="22" fillId="0" borderId="18"/>
    <xf numFmtId="0" fontId="23" fillId="0" borderId="19"/>
    <xf numFmtId="0" fontId="24" fillId="0" borderId="20"/>
    <xf numFmtId="0" fontId="24" fillId="0" borderId="0"/>
    <xf numFmtId="0" fontId="25" fillId="34" borderId="16"/>
    <xf numFmtId="0" fontId="26" fillId="0" borderId="21"/>
    <xf numFmtId="0" fontId="27" fillId="35" borderId="0"/>
    <xf numFmtId="0" fontId="6" fillId="0" borderId="0">
      <alignment wrapText="1"/>
    </xf>
    <xf numFmtId="0" fontId="15" fillId="0" borderId="0"/>
    <xf numFmtId="0" fontId="15" fillId="36" borderId="22"/>
    <xf numFmtId="0" fontId="28" fillId="31" borderId="23"/>
    <xf numFmtId="9" fontId="1" fillId="0" borderId="0">
      <alignment wrapText="1"/>
    </xf>
    <xf numFmtId="9" fontId="15" fillId="0" borderId="0"/>
    <xf numFmtId="0" fontId="29" fillId="0" borderId="0"/>
    <xf numFmtId="0" fontId="30" fillId="0" borderId="24"/>
    <xf numFmtId="0" fontId="31" fillId="0" borderId="0"/>
  </cellStyleXfs>
  <cellXfs count="253">
    <xf numFmtId="0" applyNumberFormat="1" fontId="0" applyFont="1" fillId="0" applyFill="1" borderId="0" applyBorder="1" xfId="0" applyProtection="1">
      <alignment wrapText="1"/>
    </xf>
    <xf numFmtId="0" applyNumberFormat="1" fontId="15" applyFont="1" fillId="6" applyFill="1" borderId="0" applyBorder="1" xfId="1" applyProtection="1"/>
    <xf numFmtId="0" applyNumberFormat="1" fontId="15" applyFont="1" fillId="7" applyFill="1" borderId="0" applyBorder="1" xfId="2" applyProtection="1"/>
    <xf numFmtId="0" applyNumberFormat="1" fontId="15" applyFont="1" fillId="8" applyFill="1" borderId="0" applyBorder="1" xfId="3" applyProtection="1"/>
    <xf numFmtId="0" applyNumberFormat="1" fontId="15" applyFont="1" fillId="9" applyFill="1" borderId="0" applyBorder="1" xfId="4" applyProtection="1"/>
    <xf numFmtId="0" applyNumberFormat="1" fontId="15" applyFont="1" fillId="10" applyFill="1" borderId="0" applyBorder="1" xfId="5" applyProtection="1"/>
    <xf numFmtId="0" applyNumberFormat="1" fontId="15" applyFont="1" fillId="11" applyFill="1" borderId="0" applyBorder="1" xfId="6" applyProtection="1"/>
    <xf numFmtId="0" applyNumberFormat="1" fontId="15" applyFont="1" fillId="12" applyFill="1" borderId="0" applyBorder="1" xfId="7" applyProtection="1"/>
    <xf numFmtId="0" applyNumberFormat="1" fontId="15" applyFont="1" fillId="13" applyFill="1" borderId="0" applyBorder="1" xfId="8" applyProtection="1"/>
    <xf numFmtId="0" applyNumberFormat="1" fontId="15" applyFont="1" fillId="14" applyFill="1" borderId="0" applyBorder="1" xfId="9" applyProtection="1"/>
    <xf numFmtId="0" applyNumberFormat="1" fontId="15" applyFont="1" fillId="15" applyFill="1" borderId="0" applyBorder="1" xfId="10" applyProtection="1"/>
    <xf numFmtId="0" applyNumberFormat="1" fontId="15" applyFont="1" fillId="16" applyFill="1" borderId="0" applyBorder="1" xfId="11" applyProtection="1"/>
    <xf numFmtId="0" applyNumberFormat="1" fontId="15" applyFont="1" fillId="17" applyFill="1" borderId="0" applyBorder="1" xfId="12" applyProtection="1"/>
    <xf numFmtId="0" applyNumberFormat="1" fontId="16" applyFont="1" fillId="18" applyFill="1" borderId="0" applyBorder="1" xfId="13" applyProtection="1"/>
    <xf numFmtId="0" applyNumberFormat="1" fontId="16" applyFont="1" fillId="19" applyFill="1" borderId="0" applyBorder="1" xfId="14" applyProtection="1"/>
    <xf numFmtId="0" applyNumberFormat="1" fontId="16" applyFont="1" fillId="20" applyFill="1" borderId="0" applyBorder="1" xfId="15" applyProtection="1"/>
    <xf numFmtId="0" applyNumberFormat="1" fontId="16" applyFont="1" fillId="21" applyFill="1" borderId="0" applyBorder="1" xfId="16" applyProtection="1"/>
    <xf numFmtId="0" applyNumberFormat="1" fontId="16" applyFont="1" fillId="22" applyFill="1" borderId="0" applyBorder="1" xfId="17" applyProtection="1"/>
    <xf numFmtId="0" applyNumberFormat="1" fontId="16" applyFont="1" fillId="23" applyFill="1" borderId="0" applyBorder="1" xfId="18" applyProtection="1"/>
    <xf numFmtId="0" applyNumberFormat="1" fontId="16" applyFont="1" fillId="24" applyFill="1" borderId="0" applyBorder="1" xfId="19" applyProtection="1"/>
    <xf numFmtId="0" applyNumberFormat="1" fontId="16" applyFont="1" fillId="25" applyFill="1" borderId="0" applyBorder="1" xfId="20" applyProtection="1"/>
    <xf numFmtId="0" applyNumberFormat="1" fontId="16" applyFont="1" fillId="26" applyFill="1" borderId="0" applyBorder="1" xfId="21" applyProtection="1"/>
    <xf numFmtId="0" applyNumberFormat="1" fontId="16" applyFont="1" fillId="27" applyFill="1" borderId="0" applyBorder="1" xfId="22" applyProtection="1"/>
    <xf numFmtId="0" applyNumberFormat="1" fontId="16" applyFont="1" fillId="28" applyFill="1" borderId="0" applyBorder="1" xfId="23" applyProtection="1"/>
    <xf numFmtId="0" applyNumberFormat="1" fontId="16" applyFont="1" fillId="29" applyFill="1" borderId="0" applyBorder="1" xfId="24" applyProtection="1"/>
    <xf numFmtId="0" applyNumberFormat="1" fontId="17" applyFont="1" fillId="30" applyFill="1" borderId="0" applyBorder="1" xfId="25" applyProtection="1"/>
    <xf numFmtId="0" applyNumberFormat="1" fontId="18" applyFont="1" fillId="31" applyFill="1" borderId="16" applyBorder="1" xfId="26" applyProtection="1"/>
    <xf numFmtId="0" applyNumberFormat="1" fontId="19" applyFont="1" fillId="32" applyFill="1" borderId="17" applyBorder="1" xfId="27" applyProtection="1"/>
    <xf numFmtId="0" applyNumberFormat="1" fontId="20" applyFont="1" fillId="0" applyFill="1" borderId="0" applyBorder="1" xfId="28" applyProtection="1"/>
    <xf numFmtId="0" applyNumberFormat="1" fontId="21" applyFont="1" fillId="33" applyFill="1" borderId="0" applyBorder="1" xfId="29" applyProtection="1"/>
    <xf numFmtId="0" applyNumberFormat="1" fontId="22" applyFont="1" fillId="0" applyFill="1" borderId="18" applyBorder="1" xfId="30" applyProtection="1"/>
    <xf numFmtId="0" applyNumberFormat="1" fontId="23" applyFont="1" fillId="0" applyFill="1" borderId="19" applyBorder="1" xfId="31" applyProtection="1"/>
    <xf numFmtId="0" applyNumberFormat="1" fontId="24" applyFont="1" fillId="0" applyFill="1" borderId="20" applyBorder="1" xfId="32" applyProtection="1"/>
    <xf numFmtId="0" applyNumberFormat="1" fontId="24" applyFont="1" fillId="0" applyFill="1" borderId="0" applyBorder="1" xfId="33" applyProtection="1"/>
    <xf numFmtId="0" applyNumberFormat="1" fontId="25" applyFont="1" fillId="34" applyFill="1" borderId="16" applyBorder="1" xfId="34" applyProtection="1"/>
    <xf numFmtId="0" applyNumberFormat="1" fontId="26" applyFont="1" fillId="0" applyFill="1" borderId="21" applyBorder="1" xfId="35" applyProtection="1"/>
    <xf numFmtId="0" applyNumberFormat="1" fontId="27" applyFont="1" fillId="35" applyFill="1" borderId="0" applyBorder="1" xfId="36" applyProtection="1"/>
    <xf numFmtId="0" applyNumberFormat="1" fontId="6" applyFont="1" fillId="0" applyFill="1" borderId="0" applyBorder="1" xfId="37" applyProtection="1">
      <alignment wrapText="1"/>
    </xf>
    <xf numFmtId="0" applyNumberFormat="1" fontId="15" applyFont="1" fillId="0" applyFill="1" borderId="0" applyBorder="1" xfId="38" applyProtection="1"/>
    <xf numFmtId="0" applyNumberFormat="1" fontId="15" applyFont="1" fillId="36" applyFill="1" borderId="22" applyBorder="1" xfId="39" applyProtection="1"/>
    <xf numFmtId="0" applyNumberFormat="1" fontId="28" applyFont="1" fillId="31" applyFill="1" borderId="23" applyBorder="1" xfId="40" applyProtection="1"/>
    <xf numFmtId="9" applyNumberFormat="1" fontId="1" applyFont="1" fillId="0" applyFill="1" borderId="0" applyBorder="1" xfId="41" applyProtection="1">
      <alignment wrapText="1"/>
    </xf>
    <xf numFmtId="9" applyNumberFormat="1" fontId="15" applyFont="1" fillId="0" applyFill="1" borderId="0" applyBorder="1" xfId="42" applyProtection="1"/>
    <xf numFmtId="0" applyNumberFormat="1" fontId="29" applyFont="1" fillId="0" applyFill="1" borderId="0" applyBorder="1" xfId="43" applyProtection="1"/>
    <xf numFmtId="0" applyNumberFormat="1" fontId="30" applyFont="1" fillId="0" applyFill="1" borderId="24" applyBorder="1" xfId="44" applyProtection="1"/>
    <xf numFmtId="0" applyNumberFormat="1" fontId="31" applyFont="1" fillId="0" applyFill="1" borderId="0" applyBorder="1" xfId="45" applyProtection="1"/>
    <xf numFmtId="164" applyNumberFormat="1" fontId="2" applyFont="1" fillId="2" applyFill="1" borderId="0" applyBorder="1" xfId="0" applyProtection="1" applyAlignment="1">
      <alignment horizontal="right" vertical="center" readingOrder="1"/>
    </xf>
    <xf numFmtId="164" applyNumberFormat="1" fontId="2" applyFont="1" fillId="2" applyFill="1" borderId="2" applyBorder="1" xfId="0" applyProtection="1" applyAlignment="1">
      <alignment horizontal="right" vertical="center" readingOrder="1"/>
    </xf>
    <xf numFmtId="164" applyNumberFormat="1" fontId="2" applyFont="1" fillId="2" applyFill="1" borderId="3" applyBorder="1" xfId="0" applyProtection="1" applyAlignment="1">
      <alignment horizontal="right" vertical="center" readingOrder="1"/>
    </xf>
    <xf numFmtId="0" applyNumberFormat="1" fontId="32" applyFont="1" fillId="0" applyFill="1" borderId="0" applyBorder="1" xfId="37" applyProtection="1">
      <alignment wrapText="1"/>
    </xf>
    <xf numFmtId="164" applyNumberFormat="1" fontId="32" applyFont="1" fillId="0" applyFill="1" borderId="0" applyBorder="1" xfId="37" applyProtection="1">
      <alignment wrapText="1"/>
    </xf>
    <xf numFmtId="0" applyNumberFormat="1" fontId="6" applyFont="1" fillId="0" applyFill="1" borderId="0" applyBorder="1" xfId="37" applyProtection="1" applyAlignment="1">
      <alignment horizontal="left" wrapText="1"/>
    </xf>
    <xf numFmtId="0" applyNumberFormat="1" fontId="6" applyFont="1" fillId="0" applyFill="1" borderId="0" applyBorder="1" xfId="37" applyProtection="1" applyAlignment="1">
      <alignment vertical="center" wrapText="1"/>
    </xf>
    <xf numFmtId="0" applyNumberFormat="1" fontId="32" applyFont="1" fillId="0" applyFill="1" borderId="0" applyBorder="1" xfId="37" applyProtection="1" applyAlignment="1">
      <alignment vertical="center" wrapText="1"/>
    </xf>
    <xf numFmtId="164" applyNumberFormat="1" fontId="7" applyFont="1" fillId="37" applyFill="1" borderId="1" applyBorder="1" xfId="37" applyProtection="1" applyAlignment="1">
      <alignment vertical="center" wrapText="1" readingOrder="1"/>
    </xf>
    <xf numFmtId="0" applyNumberFormat="1" fontId="8" applyFont="1" fillId="0" applyFill="1" borderId="0" applyBorder="1" xfId="37" applyProtection="1">
      <alignment wrapText="1"/>
    </xf>
    <xf numFmtId="164" applyNumberFormat="1" fontId="7" applyFont="1" fillId="37" applyFill="1" borderId="4" applyBorder="1" xfId="37" applyProtection="1" applyAlignment="1">
      <alignment vertical="center" wrapText="1" readingOrder="1"/>
    </xf>
    <xf numFmtId="164" applyNumberFormat="1" fontId="7" applyFont="1" fillId="37" applyFill="1" borderId="5" applyBorder="1" xfId="37" applyProtection="1" applyAlignment="1">
      <alignment vertical="center" wrapText="1" readingOrder="1"/>
    </xf>
    <xf numFmtId="164" applyNumberFormat="1" fontId="7" applyFont="1" fillId="37" applyFill="1" borderId="7" applyBorder="1" xfId="37" applyProtection="1" applyAlignment="1">
      <alignment horizontal="right" vertical="center" wrapText="1" readingOrder="1"/>
    </xf>
    <xf numFmtId="164" applyNumberFormat="1" fontId="5" applyFont="1" fillId="5" applyFill="1" borderId="4" applyBorder="1" xfId="37" applyProtection="1" applyAlignment="1">
      <alignment vertical="top" wrapText="1" readingOrder="1"/>
    </xf>
    <xf numFmtId="164" applyNumberFormat="1" fontId="7" applyFont="1" fillId="38" applyFill="1" borderId="5" applyBorder="1" xfId="37" applyProtection="1" applyAlignment="1">
      <alignment vertical="center" wrapText="1" readingOrder="1"/>
    </xf>
    <xf numFmtId="164" applyNumberFormat="1" fontId="5" applyFont="1" fillId="38" applyFill="1" borderId="2" applyBorder="1" xfId="37" applyProtection="1" applyAlignment="1">
      <alignment horizontal="center" vertical="center" wrapText="1" readingOrder="1"/>
    </xf>
    <xf numFmtId="164" applyNumberFormat="1" fontId="5" applyFont="1" fillId="38" applyFill="1" borderId="8" applyBorder="1" xfId="37" applyProtection="1" applyAlignment="1">
      <alignment horizontal="center" vertical="center" wrapText="1" readingOrder="1"/>
    </xf>
    <xf numFmtId="164" applyNumberFormat="1" fontId="7" applyFont="1" fillId="37" applyFill="1" borderId="9" applyBorder="1" xfId="37" applyProtection="1" applyAlignment="1">
      <alignment horizontal="right" vertical="center" wrapText="1" readingOrder="1"/>
    </xf>
    <xf numFmtId="164" applyNumberFormat="1" fontId="5" applyFont="1" fillId="5" applyFill="1" borderId="10" applyBorder="1" xfId="37" applyProtection="1" applyAlignment="1">
      <alignment vertical="top" wrapText="1" readingOrder="1"/>
    </xf>
    <xf numFmtId="164" applyNumberFormat="1" fontId="5" applyFont="1" fillId="5" applyFill="1" borderId="0" applyBorder="1" xfId="37" applyProtection="1" applyAlignment="1">
      <alignment vertical="top" wrapText="1" readingOrder="1"/>
    </xf>
    <xf numFmtId="0" applyNumberFormat="1" fontId="8" applyFont="1" fillId="38" applyFill="1" borderId="0" applyBorder="1" xfId="37" applyProtection="1" applyAlignment="1">
      <alignment horizontal="center" vertical="top" readingOrder="1"/>
    </xf>
    <xf numFmtId="0" applyNumberFormat="1" fontId="8" applyFont="1" fillId="38" applyFill="1" borderId="11" applyBorder="1" xfId="37" applyProtection="1" applyAlignment="1">
      <alignment horizontal="center" vertical="top" readingOrder="1"/>
    </xf>
    <xf numFmtId="164" applyNumberFormat="1" fontId="5" applyFont="1" fillId="5" applyFill="1" borderId="5" applyBorder="1" xfId="37" applyProtection="1" applyAlignment="1">
      <alignment vertical="top" wrapText="1" readingOrder="1"/>
    </xf>
    <xf numFmtId="164" applyNumberFormat="1" fontId="5" applyFont="1" fillId="5" applyFill="1" borderId="12" applyBorder="1" xfId="37" applyProtection="1" applyAlignment="1">
      <alignment vertical="top" wrapText="1" readingOrder="1"/>
    </xf>
    <xf numFmtId="164" applyNumberFormat="1" fontId="5" applyFont="1" fillId="5" applyFill="1" borderId="3" applyBorder="1" xfId="37" applyProtection="1" applyAlignment="1">
      <alignment vertical="top" wrapText="1" readingOrder="1"/>
    </xf>
    <xf numFmtId="164" applyNumberFormat="1" fontId="5" applyFont="1" fillId="38" applyFill="1" borderId="3" applyBorder="1" xfId="37" applyProtection="1" applyAlignment="1">
      <alignment vertical="center" wrapText="1" readingOrder="1"/>
    </xf>
    <xf numFmtId="164" applyNumberFormat="1" fontId="5" applyFont="1" fillId="38" applyFill="1" borderId="13" applyBorder="1" xfId="37" applyProtection="1" applyAlignment="1">
      <alignment vertical="center" wrapText="1" readingOrder="1"/>
    </xf>
    <xf numFmtId="164" applyNumberFormat="1" fontId="7" applyFont="1" fillId="3" applyFill="1" borderId="1" applyBorder="1" xfId="37" applyProtection="1" applyAlignment="1">
      <alignment horizontal="left" vertical="center" wrapText="1" readingOrder="1"/>
    </xf>
    <xf numFmtId="0" applyNumberFormat="1" fontId="0" applyFont="1" fillId="0" applyFill="1" borderId="1" applyBorder="1" xfId="0" applyProtection="1" applyAlignment="1">
      <alignment vertical="center" wrapText="1"/>
    </xf>
    <xf numFmtId="15" applyNumberFormat="1" fontId="0" applyFont="1" fillId="0" applyFill="1" borderId="1" applyBorder="1" xfId="0" applyProtection="1" applyAlignment="1">
      <alignment vertical="center" wrapText="1"/>
    </xf>
    <xf numFmtId="0" applyNumberFormat="1" fontId="0" applyFont="1" fillId="38" applyFill="1" borderId="0" applyBorder="1" xfId="0" applyProtection="1">
      <alignment wrapText="1"/>
    </xf>
    <xf numFmtId="164" applyNumberFormat="1" fontId="3" applyFont="1" fillId="3" applyFill="1" borderId="1" applyBorder="1" xfId="38" applyProtection="1" applyAlignment="1">
      <alignment horizontal="center" vertical="center" wrapText="1" readingOrder="1"/>
    </xf>
    <xf numFmtId="2" applyNumberFormat="1" fontId="3" applyFont="1" fillId="3" applyFill="1" borderId="1" applyBorder="1" xfId="38" applyProtection="1" applyAlignment="1">
      <alignment horizontal="center" vertical="center" wrapText="1" readingOrder="1"/>
    </xf>
    <xf numFmtId="0" applyNumberFormat="1" fontId="3" applyFont="1" fillId="3" applyFill="1" borderId="1" applyBorder="1" xfId="38" applyProtection="1" applyAlignment="1">
      <alignment horizontal="center" vertical="center" wrapText="1" readingOrder="1"/>
    </xf>
    <xf numFmtId="0" applyNumberFormat="1" fontId="15" applyFont="1" fillId="38" applyFill="1" borderId="0" applyBorder="1" xfId="38" applyProtection="1"/>
    <xf numFmtId="0" applyNumberFormat="1" fontId="6" applyFont="1" fillId="38" applyFill="1" borderId="0" applyBorder="1" xfId="38" applyProtection="1"/>
    <xf numFmtId="0" applyNumberFormat="1" fontId="6" applyFont="1" fillId="38" applyFill="1" borderId="0" applyBorder="1" xfId="38" applyProtection="1"/>
    <xf numFmtId="0" applyNumberFormat="1" fontId="6" applyFont="1" fillId="38" applyFill="1" borderId="0" applyBorder="1" xfId="38" applyProtection="1" applyAlignment="1">
      <alignment horizontal="center"/>
    </xf>
    <xf numFmtId="0" applyNumberFormat="1" fontId="15" applyFont="1" fillId="38" applyFill="1" borderId="0" applyBorder="1" xfId="38" applyProtection="1" applyAlignment="1">
      <alignment horizontal="center"/>
    </xf>
    <xf numFmtId="0" applyNumberFormat="1" fontId="0" applyFont="1" fillId="38" applyFill="1" borderId="0" applyBorder="1" xfId="0" applyProtection="1" applyAlignment="1">
      <alignment horizontal="center" wrapText="1"/>
    </xf>
    <xf numFmtId="0" applyNumberFormat="1" fontId="0" applyFont="1" fillId="38" applyFill="1" borderId="0" applyBorder="1" xfId="0" applyProtection="1">
      <alignment wrapText="1"/>
    </xf>
    <xf numFmtId="164" applyNumberFormat="1" fontId="5" applyFont="1" fillId="38" applyFill="1" borderId="0" applyBorder="1" xfId="0" applyProtection="1" applyAlignment="1">
      <alignment horizontal="center" vertical="center" wrapText="1" readingOrder="1"/>
    </xf>
    <xf numFmtId="0" applyNumberFormat="1" fontId="6" applyFont="1" fillId="38" applyFill="1" borderId="0" applyBorder="1" xfId="38" applyProtection="1" applyAlignment="1">
      <alignment horizontal="left"/>
    </xf>
    <xf numFmtId="164" applyNumberFormat="1" fontId="7" applyFont="1" fillId="37" applyFill="1" borderId="1" applyBorder="1" xfId="37" applyProtection="1" applyAlignment="1">
      <alignment horizontal="center" vertical="center" wrapText="1" readingOrder="1"/>
    </xf>
    <xf numFmtId="164" applyNumberFormat="1" fontId="7" applyFont="1" fillId="37" applyFill="1" borderId="1" applyBorder="1" xfId="37" applyProtection="1" applyAlignment="1">
      <alignment horizontal="center" vertical="center" readingOrder="1"/>
    </xf>
    <xf numFmtId="0" applyNumberFormat="1" fontId="8" applyFont="1" fillId="0" applyFill="1" borderId="1" applyBorder="1" xfId="0" applyProtection="1" applyAlignment="1">
      <alignment horizontal="center" vertical="center" wrapText="1"/>
    </xf>
    <xf numFmtId="0" applyNumberFormat="1" fontId="8" applyFont="1" fillId="0" applyFill="1" borderId="1" applyBorder="1" xfId="0" applyProtection="1" applyAlignment="1">
      <alignment vertical="center" wrapText="1"/>
    </xf>
    <xf numFmtId="0" applyNumberFormat="1" fontId="8" applyFont="1" fillId="0" applyFill="1" borderId="0" applyBorder="1" xfId="0" applyProtection="1" applyAlignment="1">
      <alignment vertical="center" wrapText="1"/>
    </xf>
    <xf numFmtId="0" applyNumberFormat="1" fontId="8" applyFont="1" fillId="0" applyFill="1" borderId="0" applyBorder="1" xfId="0" applyProtection="1" applyAlignment="1">
      <alignment vertical="top" wrapText="1"/>
    </xf>
    <xf numFmtId="0" applyNumberFormat="1" fontId="6" applyFont="1" fillId="38" applyFill="1" borderId="0" applyBorder="1" xfId="0" applyProtection="1">
      <alignment wrapText="1"/>
    </xf>
    <xf numFmtId="0" applyNumberFormat="1" fontId="9" applyFont="1" fillId="38" applyFill="1" borderId="0" applyBorder="1" xfId="38" applyProtection="1" applyAlignment="1">
      <alignment horizontal="centerContinuous"/>
    </xf>
    <xf numFmtId="0" applyNumberFormat="1" fontId="33" applyFont="1" fillId="38" applyFill="1" borderId="0" applyBorder="1" xfId="38" applyProtection="1" applyAlignment="1">
      <alignment horizontal="centerContinuous"/>
    </xf>
    <xf numFmtId="0" applyNumberFormat="1" fontId="6" applyFont="1" fillId="38" applyFill="1" borderId="0" applyBorder="1" xfId="38" applyProtection="1"/>
    <xf numFmtId="0" applyNumberFormat="1" fontId="33" applyFont="1" fillId="38" applyFill="1" borderId="0" applyBorder="1" xfId="38" applyProtection="1"/>
    <xf numFmtId="0" applyNumberFormat="1" fontId="33" applyFont="1" fillId="38" applyFill="1" borderId="0" applyBorder="1" xfId="38" applyProtection="1"/>
    <xf numFmtId="0" applyNumberFormat="1" fontId="10" applyFont="1" fillId="38" applyFill="1" borderId="0" applyBorder="1" xfId="38" applyProtection="1" applyAlignment="1">
      <alignment horizontal="center"/>
    </xf>
    <xf numFmtId="15" applyNumberFormat="1" fontId="8" applyFont="1" fillId="0" applyFill="1" borderId="1" applyBorder="1" xfId="0" applyProtection="1" applyAlignment="1">
      <alignment vertical="center" wrapText="1"/>
    </xf>
    <xf numFmtId="0" applyNumberFormat="1" fontId="8" applyFont="1" fillId="0" applyFill="1" borderId="1" applyBorder="1" xfId="0" applyProtection="1" applyAlignment="1">
      <alignment horizontal="center" vertical="center" wrapText="1" readingOrder="1"/>
    </xf>
    <xf numFmtId="0" applyNumberFormat="1" fontId="13" applyFont="1" fillId="38" applyFill="1" borderId="0" applyBorder="1" xfId="38" applyProtection="1" applyAlignment="1">
      <alignment horizontal="center"/>
    </xf>
    <xf numFmtId="164" applyNumberFormat="1" fontId="3" applyFont="1" fillId="2" applyFill="1" borderId="2" applyBorder="1" xfId="0" applyProtection="1" applyAlignment="1">
      <alignment horizontal="center" vertical="center" readingOrder="1"/>
    </xf>
    <xf numFmtId="165" applyNumberFormat="1" fontId="3" applyFont="1" fillId="2" applyFill="1" borderId="0" applyBorder="1" xfId="0" applyProtection="1" applyAlignment="1">
      <alignment horizontal="center" vertical="center" readingOrder="1"/>
    </xf>
    <xf numFmtId="0" applyNumberFormat="1" fontId="8" applyFont="1" fillId="0" applyFill="1" borderId="0" applyBorder="1" xfId="0" applyProtection="1">
      <alignment wrapText="1"/>
    </xf>
    <xf numFmtId="0" applyNumberFormat="1" fontId="6" applyFont="1" fillId="0" applyFill="1" borderId="0" applyBorder="1" xfId="0" applyProtection="1">
      <alignment wrapText="1"/>
    </xf>
    <xf numFmtId="0" applyNumberFormat="1" fontId="8" applyFont="1" fillId="0" applyFill="1" borderId="1" applyBorder="1" xfId="0" applyProtection="1" applyAlignment="1">
      <alignment horizontal="center" vertical="center" wrapText="1"/>
    </xf>
    <xf numFmtId="164" applyNumberFormat="1" fontId="2" applyFont="1" fillId="39" applyFill="1" borderId="1" applyBorder="1" xfId="0" applyProtection="1" applyAlignment="1">
      <alignment horizontal="center" vertical="center" wrapText="1" readingOrder="1"/>
    </xf>
    <xf numFmtId="164" applyNumberFormat="1" fontId="3" applyFont="1" fillId="2" applyFill="1" borderId="0" applyBorder="1" xfId="0" applyProtection="1" applyAlignment="1">
      <alignment horizontal="center" vertical="center" readingOrder="1"/>
    </xf>
    <xf numFmtId="164" applyNumberFormat="1" fontId="3" applyFont="1" fillId="2" applyFill="1" borderId="11" applyBorder="1" xfId="0" applyProtection="1" applyAlignment="1">
      <alignment horizontal="center" vertical="center" readingOrder="1"/>
    </xf>
    <xf numFmtId="165" applyNumberFormat="1" fontId="3" applyFont="1" fillId="2" applyFill="1" borderId="11" applyBorder="1" xfId="0" applyProtection="1" applyAlignment="1">
      <alignment horizontal="center" vertical="center" readingOrder="1"/>
    </xf>
    <xf numFmtId="0" applyNumberFormat="1" fontId="6" applyFont="1" fillId="0" applyFill="1" borderId="0" applyBorder="1" xfId="0" applyProtection="1" applyAlignment="1">
      <alignment horizontal="center" wrapText="1"/>
    </xf>
    <xf numFmtId="165" applyNumberFormat="1" fontId="3" applyFont="1" fillId="2" applyFill="1" borderId="0" applyBorder="1" xfId="0" applyProtection="1" applyAlignment="1">
      <alignment horizontal="left" vertical="top" readingOrder="1"/>
    </xf>
    <xf numFmtId="164" applyNumberFormat="1" fontId="2" applyFont="1" fillId="39" applyFill="1" borderId="1" applyBorder="1" xfId="0" applyProtection="1" applyAlignment="1">
      <alignment horizontal="center" vertical="top" wrapText="1" readingOrder="1"/>
    </xf>
    <xf numFmtId="0" applyNumberFormat="1" fontId="8" applyFont="1" fillId="0" applyFill="1" borderId="1" applyBorder="1" xfId="0" applyProtection="1" applyAlignment="1">
      <alignment vertical="top" wrapText="1"/>
    </xf>
    <xf numFmtId="164" applyNumberFormat="1" fontId="3" applyFont="1" fillId="2" applyFill="1" borderId="2" applyBorder="1" xfId="0" applyProtection="1" applyAlignment="1">
      <alignment vertical="top" readingOrder="1"/>
    </xf>
    <xf numFmtId="165" applyNumberFormat="1" fontId="3" applyFont="1" fillId="2" applyFill="1" borderId="0" applyBorder="1" xfId="0" applyProtection="1" applyAlignment="1">
      <alignment vertical="top" readingOrder="1"/>
    </xf>
    <xf numFmtId="164" applyNumberFormat="1" fontId="2" applyFont="1" fillId="2" applyFill="1" borderId="5" applyBorder="1" xfId="0" applyProtection="1" applyAlignment="1">
      <alignment horizontal="center" vertical="center" readingOrder="1"/>
    </xf>
    <xf numFmtId="164" applyNumberFormat="1" fontId="2" applyFont="1" fillId="2" applyFill="1" borderId="10" applyBorder="1" xfId="0" applyProtection="1" applyAlignment="1">
      <alignment horizontal="center" vertical="center" readingOrder="1"/>
    </xf>
    <xf numFmtId="164" applyNumberFormat="1" fontId="2" applyFont="1" fillId="2" applyFill="1" borderId="12" applyBorder="1" xfId="0" applyProtection="1" applyAlignment="1">
      <alignment horizontal="center" vertical="center" readingOrder="1"/>
    </xf>
    <xf numFmtId="0" applyNumberFormat="1" fontId="6" applyFont="1" fillId="0" applyFill="1" borderId="0" applyBorder="1" xfId="0" applyProtection="1"/>
    <xf numFmtId="0" applyNumberFormat="1" fontId="0" applyFont="1" fillId="0" applyFill="1" borderId="0" applyBorder="1" xfId="0" applyProtection="1"/>
    <xf numFmtId="0" applyNumberFormat="1" fontId="8" applyFont="1" fillId="0" applyFill="1" borderId="1" applyBorder="1" xfId="0" applyProtection="1" applyAlignment="1">
      <alignment horizontal="right" vertical="center" wrapText="1"/>
    </xf>
    <xf numFmtId="0" applyNumberFormat="1" fontId="11" applyFont="1" fillId="39" applyFill="1" borderId="1" applyBorder="1" xfId="0" applyProtection="1" applyAlignment="1">
      <alignment horizontal="center" vertical="center" wrapText="1"/>
    </xf>
    <xf numFmtId="164" applyNumberFormat="1" fontId="8" applyFont="1" fillId="0" applyFill="1" borderId="1" applyBorder="1" xfId="0" applyProtection="1" applyAlignment="1">
      <alignment horizontal="center" vertical="center" wrapText="1"/>
    </xf>
    <xf numFmtId="9" applyNumberFormat="1" fontId="8" applyFont="1" fillId="0" applyFill="1" borderId="1" applyBorder="1" xfId="41" applyProtection="1" applyAlignment="1">
      <alignment horizontal="center" vertical="center" wrapText="1"/>
    </xf>
    <xf numFmtId="164" applyNumberFormat="1" fontId="2" applyFont="1" fillId="39" applyFill="1" borderId="4" applyBorder="1" xfId="0" applyProtection="1" applyAlignment="1">
      <alignment horizontal="center" vertical="center" wrapText="1" readingOrder="1"/>
    </xf>
    <xf numFmtId="164" applyNumberFormat="1" fontId="2" applyFont="1" fillId="39" applyFill="1" borderId="14" applyBorder="1" xfId="0" applyProtection="1" applyAlignment="1">
      <alignment horizontal="center" vertical="center" wrapText="1" readingOrder="1"/>
    </xf>
    <xf numFmtId="164" applyNumberFormat="1" fontId="7" applyFont="1" fillId="37" applyFill="1" borderId="6" applyBorder="1" xfId="37" applyProtection="1" applyAlignment="1">
      <alignment horizontal="center" vertical="center" wrapText="1" readingOrder="1"/>
    </xf>
    <xf numFmtId="0" applyNumberFormat="1" fontId="8" applyFont="1" fillId="0" applyFill="1" borderId="0" applyBorder="1" xfId="0" applyProtection="1" applyAlignment="1">
      <alignment horizontal="center" vertical="center" wrapText="1"/>
    </xf>
    <xf numFmtId="0" applyNumberFormat="1" fontId="8" applyFont="1" fillId="0" applyFill="1" borderId="0" applyBorder="1" xfId="0" applyProtection="1" applyAlignment="1">
      <alignment horizontal="center" vertical="center" wrapText="1"/>
    </xf>
    <xf numFmtId="0" applyNumberFormat="1" fontId="0" applyFont="1" fillId="0" applyFill="1" borderId="0" applyBorder="1" xfId="0" applyProtection="1">
      <alignment wrapText="1"/>
    </xf>
    <xf numFmtId="0" applyNumberFormat="1" fontId="16" applyFont="1" fillId="38" applyFill="1" borderId="0" applyBorder="1" xfId="38" applyProtection="1"/>
    <xf numFmtId="0" applyNumberFormat="1" fontId="37" applyFont="1" fillId="0" applyFill="1" borderId="0" applyBorder="1" xfId="37" applyProtection="1" applyAlignment="1">
      <alignment vertical="center" wrapText="1"/>
    </xf>
    <xf numFmtId="0" applyNumberFormat="1" fontId="38" applyFont="1" fillId="0" applyFill="1" borderId="0" applyBorder="1" xfId="37" applyProtection="1" applyAlignment="1">
      <alignment vertical="center" wrapText="1"/>
    </xf>
    <xf numFmtId="0" applyNumberFormat="1" fontId="37" applyFont="1" fillId="0" applyFill="1" borderId="0" applyBorder="1" xfId="37" applyProtection="1" applyAlignment="1">
      <alignment horizontal="left" vertical="center" wrapText="1"/>
    </xf>
    <xf numFmtId="164" applyNumberFormat="1" fontId="39" applyFont="1" fillId="3" applyFill="1" borderId="1" applyBorder="1" xfId="37" applyProtection="1" applyAlignment="1">
      <alignment horizontal="left" vertical="center" wrapText="1" readingOrder="1"/>
    </xf>
    <xf numFmtId="164" applyNumberFormat="1" fontId="40" applyFont="1" fillId="38" applyFill="1" borderId="13" applyBorder="1" xfId="37" applyProtection="1" applyAlignment="1">
      <alignment vertical="center" wrapText="1" readingOrder="1"/>
    </xf>
    <xf numFmtId="164" applyNumberFormat="1" fontId="40" applyFont="1" fillId="38" applyFill="1" borderId="3" applyBorder="1" xfId="37" applyProtection="1" applyAlignment="1">
      <alignment vertical="center" wrapText="1" readingOrder="1"/>
    </xf>
    <xf numFmtId="164" applyNumberFormat="1" fontId="40" applyFont="1" fillId="5" applyFill="1" borderId="3" applyBorder="1" xfId="37" applyProtection="1" applyAlignment="1">
      <alignment vertical="center" wrapText="1" readingOrder="1"/>
    </xf>
    <xf numFmtId="164" applyNumberFormat="1" fontId="40" applyFont="1" fillId="5" applyFill="1" borderId="12" applyBorder="1" xfId="37" applyProtection="1" applyAlignment="1">
      <alignment vertical="center" wrapText="1" readingOrder="1"/>
    </xf>
    <xf numFmtId="164" applyNumberFormat="1" fontId="39" applyFont="1" fillId="37" applyFill="1" borderId="9" applyBorder="1" xfId="37" applyProtection="1" applyAlignment="1">
      <alignment horizontal="right" vertical="center" wrapText="1" readingOrder="1"/>
    </xf>
    <xf numFmtId="0" applyNumberFormat="1" fontId="37" applyFont="1" fillId="38" applyFill="1" borderId="11" applyBorder="1" xfId="37" applyProtection="1" applyAlignment="1">
      <alignment horizontal="center" vertical="center" readingOrder="1"/>
    </xf>
    <xf numFmtId="0" applyNumberFormat="1" fontId="37" applyFont="1" fillId="38" applyFill="1" borderId="0" applyBorder="1" xfId="37" applyProtection="1" applyAlignment="1">
      <alignment horizontal="center" vertical="center" readingOrder="1"/>
    </xf>
    <xf numFmtId="164" applyNumberFormat="1" fontId="40" applyFont="1" fillId="5" applyFill="1" borderId="0" applyBorder="1" xfId="37" applyProtection="1" applyAlignment="1">
      <alignment vertical="center" wrapText="1" readingOrder="1"/>
    </xf>
    <xf numFmtId="164" applyNumberFormat="1" fontId="40" applyFont="1" fillId="5" applyFill="1" borderId="10" applyBorder="1" xfId="37" applyProtection="1" applyAlignment="1">
      <alignment vertical="center" wrapText="1" readingOrder="1"/>
    </xf>
    <xf numFmtId="164" applyNumberFormat="1" fontId="38" applyFont="1" fillId="0" applyFill="1" borderId="0" applyBorder="1" xfId="37" applyProtection="1" applyAlignment="1">
      <alignment vertical="center" wrapText="1"/>
    </xf>
    <xf numFmtId="164" applyNumberFormat="1" fontId="40" applyFont="1" fillId="38" applyFill="1" borderId="8" applyBorder="1" xfId="37" applyProtection="1" applyAlignment="1">
      <alignment horizontal="center" vertical="center" wrapText="1" readingOrder="1"/>
    </xf>
    <xf numFmtId="164" applyNumberFormat="1" fontId="40" applyFont="1" fillId="38" applyFill="1" borderId="2" applyBorder="1" xfId="37" applyProtection="1" applyAlignment="1">
      <alignment horizontal="center" vertical="center" wrapText="1" readingOrder="1"/>
    </xf>
    <xf numFmtId="164" applyNumberFormat="1" fontId="39" applyFont="1" fillId="38" applyFill="1" borderId="5" applyBorder="1" xfId="37" applyProtection="1" applyAlignment="1">
      <alignment vertical="center" wrapText="1" readingOrder="1"/>
    </xf>
    <xf numFmtId="164" applyNumberFormat="1" fontId="39" applyFont="1" fillId="37" applyFill="1" borderId="7" applyBorder="1" xfId="37" applyProtection="1" applyAlignment="1">
      <alignment horizontal="right" vertical="center" wrapText="1" readingOrder="1"/>
    </xf>
    <xf numFmtId="164" applyNumberFormat="1" fontId="39" applyFont="1" fillId="37" applyFill="1" borderId="5" applyBorder="1" xfId="37" applyProtection="1" applyAlignment="1">
      <alignment horizontal="right" vertical="center" wrapText="1" readingOrder="1"/>
    </xf>
    <xf numFmtId="164" applyNumberFormat="1" fontId="39" applyFont="1" fillId="37" applyFill="1" borderId="4" applyBorder="1" xfId="37" applyProtection="1" applyAlignment="1">
      <alignment horizontal="right" vertical="center" wrapText="1" readingOrder="1"/>
    </xf>
    <xf numFmtId="164" applyNumberFormat="1" fontId="39" applyFont="1" fillId="37" applyFill="1" borderId="1" applyBorder="1" xfId="37" applyProtection="1" applyAlignment="1">
      <alignment horizontal="center" vertical="center" wrapText="1" readingOrder="1"/>
    </xf>
    <xf numFmtId="164" applyNumberFormat="1" fontId="2" applyFont="1" fillId="39" applyFill="1" borderId="1" applyBorder="1" xfId="0" applyProtection="1" applyAlignment="1">
      <alignment horizontal="center" vertical="center" wrapText="1" readingOrder="1"/>
    </xf>
    <xf numFmtId="164" applyNumberFormat="1" fontId="7" applyFont="1" fillId="37" applyFill="1" borderId="6" applyBorder="1" xfId="37" applyProtection="1" applyAlignment="1">
      <alignment horizontal="left" vertical="center" wrapText="1" readingOrder="1"/>
    </xf>
    <xf numFmtId="0" applyNumberFormat="1" fontId="8" applyFont="1" fillId="0" applyFill="1" borderId="0" applyBorder="1" xfId="0" applyProtection="1" applyAlignment="1">
      <alignment horizontal="left" vertical="center" wrapText="1" readingOrder="1"/>
    </xf>
    <xf numFmtId="0" applyNumberFormat="1" fontId="0" applyFont="1" fillId="0" applyFill="1" borderId="0" applyBorder="1" xfId="0" applyProtection="1" applyAlignment="1">
      <alignment horizontal="left" wrapText="1" readingOrder="1"/>
    </xf>
    <xf numFmtId="0" applyNumberFormat="1" fontId="0" applyFont="1" fillId="0" applyFill="1" borderId="0" applyBorder="1" xfId="0" applyProtection="1" applyAlignment="1">
      <alignment horizontal="left" wrapText="1" readingOrder="1"/>
    </xf>
    <xf numFmtId="164" applyNumberFormat="1" fontId="7" applyFont="1" fillId="37" applyFill="1" borderId="6" applyBorder="1" xfId="37" applyProtection="1" applyAlignment="1">
      <alignment horizontal="left" vertical="center" readingOrder="1"/>
    </xf>
    <xf numFmtId="0" applyNumberFormat="1" fontId="0" applyFont="1" fillId="0" applyFill="1" borderId="0" applyBorder="1" xfId="0" applyProtection="1" applyAlignment="1">
      <alignment horizontal="left" readingOrder="1"/>
    </xf>
    <xf numFmtId="0" applyNumberFormat="1" fontId="0" applyFont="1" fillId="0" applyFill="1" borderId="0" applyBorder="1" xfId="0" applyProtection="1" applyAlignment="1">
      <alignment horizontal="left" readingOrder="1"/>
    </xf>
    <xf numFmtId="0" applyNumberFormat="1" fontId="0" applyFont="1" fillId="0" applyFill="1" borderId="0" applyBorder="1" xfId="0" applyProtection="1" applyAlignment="1">
      <alignment horizontal="center" vertical="center" wrapText="1"/>
    </xf>
    <xf numFmtId="0" applyNumberFormat="1" fontId="0" applyFont="1" fillId="38" applyFill="1" borderId="0" applyBorder="1" xfId="0" applyProtection="1" applyAlignment="1">
      <alignment horizontal="center" vertical="center" wrapText="1"/>
    </xf>
    <xf numFmtId="0" applyNumberFormat="1" fontId="0" applyFont="1" fillId="38" applyFill="1" borderId="0" applyBorder="1" xfId="0" applyProtection="1" applyAlignment="1">
      <alignment horizontal="left" vertical="center" wrapText="1"/>
    </xf>
    <xf numFmtId="0" applyNumberFormat="1" fontId="0" applyFont="1" fillId="0" applyFill="1" borderId="0" applyBorder="1" xfId="0" applyProtection="1" applyAlignment="1">
      <alignment horizontal="left" vertical="center" wrapText="1"/>
    </xf>
    <xf numFmtId="0" applyNumberFormat="1" fontId="8" applyFont="1" fillId="0" applyFill="1" borderId="0" applyBorder="1" xfId="0" applyProtection="1" applyAlignment="1">
      <alignment horizontal="center" vertical="center" wrapText="1"/>
    </xf>
    <xf numFmtId="0" applyNumberFormat="1" fontId="8" applyFont="1" fillId="0" applyFill="1" borderId="0" applyBorder="1" xfId="0" applyProtection="1" applyAlignment="1">
      <alignment horizontal="left" vertical="center" wrapText="1"/>
    </xf>
    <xf numFmtId="164" applyNumberFormat="1" fontId="40" applyFont="1" fillId="5" applyFill="1" borderId="4" applyBorder="1" xfId="37" applyProtection="1" applyAlignment="1">
      <alignment horizontal="left" vertical="center" wrapText="1" readingOrder="1"/>
    </xf>
    <xf numFmtId="164" applyNumberFormat="1" fontId="40" applyFont="1" fillId="5" applyFill="1" borderId="5" applyBorder="1" xfId="37" applyProtection="1" applyAlignment="1">
      <alignment horizontal="left" vertical="center" wrapText="1" readingOrder="1"/>
    </xf>
    <xf numFmtId="0" applyNumberFormat="1" fontId="1" applyFont="1" fillId="38" applyFill="1" borderId="0" applyBorder="1" xfId="0" applyProtection="1">
      <alignment wrapText="1"/>
    </xf>
    <xf numFmtId="0" applyNumberFormat="1" fontId="32" applyFont="1" fillId="38" applyFill="1" borderId="0" applyBorder="1" xfId="38" applyProtection="1" applyAlignment="1">
      <alignment horizontal="centerContinuous" vertical="top" wrapText="1"/>
    </xf>
    <xf numFmtId="0" applyNumberFormat="1" fontId="32" applyFont="1" fillId="38" applyFill="1" borderId="0" applyBorder="1" xfId="38" applyProtection="1" applyAlignment="1">
      <alignment horizontal="centerContinuous" wrapText="1"/>
    </xf>
    <xf numFmtId="0" applyNumberFormat="1" fontId="41" applyFont="1" fillId="38" applyFill="1" borderId="0" applyBorder="1" xfId="38" applyProtection="1" applyAlignment="1">
      <alignment horizontal="right"/>
    </xf>
    <xf numFmtId="49" applyNumberFormat="1" fontId="41" applyFont="1" fillId="38" applyFill="1" borderId="0" applyBorder="1" xfId="38" applyProtection="1" applyAlignment="1">
      <alignment horizontal="right"/>
    </xf>
    <xf numFmtId="0" applyNumberFormat="1" fontId="32" applyFont="1" fillId="38" applyFill="1" borderId="0" applyBorder="1" xfId="38" applyProtection="1"/>
    <xf numFmtId="0" applyNumberFormat="1" fontId="16" applyFont="1" fillId="38" applyFill="1" borderId="0" applyBorder="1" xfId="38" applyProtection="1"/>
    <xf numFmtId="0" applyNumberFormat="1" fontId="32" applyFont="1" fillId="38" applyFill="1" borderId="0" applyBorder="1" xfId="0" applyProtection="1">
      <alignment wrapText="1"/>
    </xf>
    <xf numFmtId="164" applyNumberFormat="1" fontId="39" applyFont="1" fillId="37" applyFill="1" borderId="1" applyBorder="1" xfId="37" applyProtection="1" applyAlignment="1">
      <alignment horizontal="right" vertical="center" wrapText="1" readingOrder="1"/>
    </xf>
    <xf numFmtId="2" applyNumberFormat="1" fontId="37" applyFont="1" fillId="0" applyFill="1" borderId="0" applyBorder="1" xfId="37" applyProtection="1" applyAlignment="1">
      <alignment horizontal="right" vertical="center" wrapText="1"/>
    </xf>
    <xf numFmtId="1" applyNumberFormat="1" fontId="3" applyFont="1" fillId="41" applyFill="1" borderId="1" applyBorder="1" xfId="38" applyProtection="1" applyAlignment="1">
      <alignment horizontal="center" vertical="center" wrapText="1" readingOrder="1"/>
    </xf>
    <xf numFmtId="164" applyNumberFormat="1" fontId="3" applyFont="1" fillId="43" applyFill="1" borderId="1" applyBorder="1" xfId="38" applyProtection="1" applyAlignment="1">
      <alignment horizontal="center" vertical="center" wrapText="1" readingOrder="1"/>
    </xf>
    <xf numFmtId="0" applyNumberFormat="1" fontId="3" applyFont="1" fillId="43" applyFill="1" borderId="1" applyBorder="1" xfId="38" applyProtection="1" applyAlignment="1">
      <alignment horizontal="center" vertical="center" wrapText="1" readingOrder="1"/>
    </xf>
    <xf numFmtId="1" applyNumberFormat="1" fontId="3" applyFont="1" fillId="43" applyFill="1" borderId="1" applyBorder="1" xfId="38" applyProtection="1" applyAlignment="1">
      <alignment horizontal="center" vertical="center" wrapText="1" readingOrder="1"/>
    </xf>
    <xf numFmtId="1" applyNumberFormat="1" fontId="5" applyFont="1" fillId="43" applyFill="1" borderId="1" applyBorder="1" xfId="38" applyProtection="1" applyAlignment="1">
      <alignment horizontal="center" vertical="center" wrapText="1" readingOrder="1"/>
    </xf>
    <xf numFmtId="0" applyNumberFormat="1" fontId="3" applyFont="1" fillId="42" applyFill="1" borderId="1" applyBorder="1" xfId="38" applyProtection="1" applyAlignment="1">
      <alignment horizontal="center" vertical="center" wrapText="1" readingOrder="1"/>
    </xf>
    <xf numFmtId="164" applyNumberFormat="1" fontId="3" applyFont="1" fillId="44" applyFill="1" borderId="1" applyBorder="1" xfId="38" applyProtection="1" applyAlignment="1">
      <alignment horizontal="center" vertical="center" wrapText="1" readingOrder="1"/>
    </xf>
    <xf numFmtId="1" applyNumberFormat="1" fontId="3" applyFont="1" fillId="45" applyFill="1" borderId="1" applyBorder="1" xfId="38" applyProtection="1" applyAlignment="1">
      <alignment horizontal="center" vertical="center" wrapText="1" readingOrder="1"/>
    </xf>
    <xf numFmtId="164" applyNumberFormat="1" fontId="32" applyFont="1" fillId="40" applyFill="1" borderId="1" applyBorder="1" xfId="38" applyProtection="1" applyAlignment="1">
      <alignment horizontal="center" vertical="center" wrapText="1" readingOrder="1"/>
    </xf>
    <xf numFmtId="164" applyNumberFormat="1" fontId="5" applyFont="1" fillId="38" applyFill="1" borderId="4" applyBorder="1" xfId="37" applyProtection="1" applyAlignment="1">
      <alignment horizontal="center" vertical="center" wrapText="1" readingOrder="1"/>
    </xf>
    <xf numFmtId="164" applyNumberFormat="1" fontId="5" applyFont="1" fillId="38" applyFill="1" borderId="6" applyBorder="1" xfId="37" applyProtection="1" applyAlignment="1">
      <alignment horizontal="center" vertical="center" wrapText="1" readingOrder="1"/>
    </xf>
    <xf numFmtId="164" applyNumberFormat="1" fontId="42" applyFont="1" fillId="0" applyFill="1" borderId="1" applyBorder="1" xfId="37" applyProtection="1" applyAlignment="1">
      <alignment horizontal="center" vertical="center" wrapText="1" readingOrder="1"/>
    </xf>
    <xf numFmtId="164" applyNumberFormat="1" fontId="42" applyFont="1" fillId="0" applyFill="1" borderId="6" applyBorder="1" xfId="37" applyProtection="1" applyAlignment="1">
      <alignment horizontal="center" vertical="center" wrapText="1" readingOrder="1"/>
    </xf>
    <xf numFmtId="164" applyNumberFormat="1" fontId="43" applyFont="1" fillId="38" applyFill="1" borderId="1" applyBorder="1" xfId="37" applyProtection="1" applyAlignment="1">
      <alignment horizontal="center" vertical="center" wrapText="1" readingOrder="1"/>
    </xf>
    <xf numFmtId="164" applyNumberFormat="1" fontId="40" applyFont="1" fillId="0" applyFill="1" borderId="4" applyBorder="1" xfId="37" applyProtection="1" applyAlignment="1">
      <alignment horizontal="center" vertical="center" wrapText="1" readingOrder="1"/>
    </xf>
    <xf numFmtId="164" applyNumberFormat="1" fontId="2" applyFont="1" fillId="39" applyFill="1" borderId="1" applyBorder="1" xfId="0" applyProtection="1" applyAlignment="1">
      <alignment horizontal="center" vertical="center" wrapText="1" readingOrder="1"/>
    </xf>
    <xf numFmtId="164" applyNumberFormat="1" fontId="4" applyFont="1" fillId="2" applyFill="1" borderId="3" applyBorder="1" xfId="0" applyProtection="1" applyAlignment="1">
      <alignment vertical="top" wrapText="1" readingOrder="1"/>
    </xf>
    <xf numFmtId="164" applyNumberFormat="1" fontId="4" applyFont="1" fillId="2" applyFill="1" borderId="13" applyBorder="1" xfId="0" applyProtection="1" applyAlignment="1">
      <alignment vertical="top" wrapText="1" readingOrder="1"/>
    </xf>
    <xf numFmtId="0" applyNumberFormat="1" fontId="35" applyFont="1" fillId="38" applyFill="1" borderId="0" applyBorder="1" xfId="38" applyProtection="1" applyAlignment="1">
      <alignment horizontal="center"/>
    </xf>
    <xf numFmtId="0" applyNumberFormat="1" fontId="34" applyFont="1" fillId="38" applyFill="1" borderId="11" applyBorder="1" xfId="38" applyProtection="1" applyAlignment="1">
      <alignment horizontal="center" vertical="center" textRotation="90"/>
    </xf>
    <xf numFmtId="0" applyNumberFormat="1" fontId="34" applyFont="1" fillId="38" applyFill="1" borderId="2" applyBorder="1" xfId="38" applyProtection="1" applyAlignment="1">
      <alignment horizontal="center" vertical="top"/>
    </xf>
    <xf numFmtId="0" applyNumberFormat="1" fontId="36" applyFont="1" fillId="39" applyFill="1" borderId="4" applyBorder="1" xfId="0" applyProtection="1" applyAlignment="1">
      <alignment horizontal="center" vertical="center" wrapText="1"/>
    </xf>
    <xf numFmtId="0" applyNumberFormat="1" fontId="36" applyFont="1" fillId="39" applyFill="1" borderId="25" applyBorder="1" xfId="0" applyProtection="1" applyAlignment="1">
      <alignment horizontal="center" vertical="center" wrapText="1"/>
    </xf>
    <xf numFmtId="0" applyNumberFormat="1" fontId="36" applyFont="1" fillId="39" applyFill="1" borderId="14" applyBorder="1" xfId="0" applyProtection="1" applyAlignment="1">
      <alignment horizontal="center" vertical="center" wrapText="1"/>
    </xf>
    <xf numFmtId="0" applyNumberFormat="1" fontId="34" applyFont="1" fillId="38" applyFill="1" borderId="11" applyBorder="1" xfId="38" applyProtection="1" applyAlignment="1">
      <alignment horizontal="right" vertical="center" textRotation="90"/>
    </xf>
    <xf numFmtId="0" applyNumberFormat="1" fontId="13" applyFont="1" fillId="38" applyFill="1" borderId="0" applyBorder="1" xfId="38" applyProtection="1" applyAlignment="1">
      <alignment horizontal="center"/>
    </xf>
    <xf numFmtId="0" applyNumberFormat="1" fontId="12" applyFont="1" fillId="38" applyFill="1" borderId="0" applyBorder="1" xfId="38" applyProtection="1" applyAlignment="1">
      <alignment horizontal="center"/>
    </xf>
    <xf numFmtId="0" applyNumberFormat="1" fontId="14" applyFont="1" fillId="38" applyFill="1" borderId="0" applyBorder="1" xfId="38" applyProtection="1" applyAlignment="1">
      <alignment horizontal="center"/>
    </xf>
    <xf numFmtId="0" applyNumberFormat="1" fontId="0" applyFont="1" fillId="0" applyFill="1" borderId="1" applyBorder="1" xfId="0" applyProtection="1" applyAlignment="1">
      <alignment vertical="center" wrapText="1"/>
    </xf>
    <xf numFmtId="0" applyNumberFormat="1" fontId="8" applyFont="1" fillId="0" applyFill="1" borderId="1" applyBorder="1" xfId="0" applyProtection="1" applyAlignment="1">
      <alignment vertical="center" wrapText="1"/>
    </xf>
    <xf numFmtId="164" applyNumberFormat="1" fontId="7" applyFont="1" fillId="3" applyFill="1" borderId="15" applyBorder="1" xfId="37" applyProtection="1" applyAlignment="1">
      <alignment vertical="center" wrapText="1" readingOrder="1"/>
    </xf>
    <xf numFmtId="164" applyNumberFormat="1" fontId="7" applyFont="1" fillId="4" applyFill="1" borderId="7" applyBorder="1" xfId="37" applyProtection="1" applyAlignment="1">
      <alignment vertical="center" wrapText="1" readingOrder="1"/>
    </xf>
    <xf numFmtId="164" applyNumberFormat="1" fontId="7" applyFont="1" fillId="4" applyFill="1" borderId="11" applyBorder="1" xfId="37" applyProtection="1" applyAlignment="1">
      <alignment vertical="center" wrapText="1" readingOrder="1"/>
    </xf>
    <xf numFmtId="164" applyNumberFormat="1" fontId="7" applyFont="1" fillId="37" applyFill="1" borderId="6" applyBorder="1" xfId="37" applyProtection="1" applyAlignment="1">
      <alignment horizontal="right" vertical="center" wrapText="1" readingOrder="1"/>
    </xf>
    <xf numFmtId="164" applyNumberFormat="1" fontId="7" applyFont="1" fillId="37" applyFill="1" borderId="15" applyBorder="1" xfId="37" applyProtection="1" applyAlignment="1">
      <alignment horizontal="right" vertical="center" wrapText="1" readingOrder="1"/>
    </xf>
    <xf numFmtId="164" applyNumberFormat="1" fontId="5" applyFont="1" fillId="5" applyFill="1" borderId="8" applyBorder="1" xfId="37" applyProtection="1" applyAlignment="1">
      <alignment vertical="top" wrapText="1" readingOrder="1"/>
    </xf>
    <xf numFmtId="164" applyNumberFormat="1" fontId="5" applyFont="1" fillId="5" applyFill="1" borderId="13" applyBorder="1" xfId="37" applyProtection="1" applyAlignment="1">
      <alignment vertical="top" wrapText="1" readingOrder="1"/>
    </xf>
    <xf numFmtId="164" applyNumberFormat="1" fontId="7" applyFont="1" fillId="3" applyFill="1" borderId="1" applyBorder="1" xfId="37" applyProtection="1" applyAlignment="1">
      <alignment vertical="center" wrapText="1" readingOrder="1"/>
    </xf>
    <xf numFmtId="164" applyNumberFormat="1" fontId="7" applyFont="1" fillId="3" applyFill="1" borderId="12" applyBorder="1" xfId="37" applyProtection="1" applyAlignment="1">
      <alignment vertical="center" wrapText="1" readingOrder="1"/>
    </xf>
    <xf numFmtId="164" applyNumberFormat="1" fontId="7" applyFont="1" fillId="3" applyFill="1" borderId="13" applyBorder="1" xfId="37" applyProtection="1" applyAlignment="1">
      <alignment vertical="center" wrapText="1" readingOrder="1"/>
    </xf>
    <xf numFmtId="164" applyNumberFormat="1" fontId="5" applyFont="1" fillId="5" applyFill="1" borderId="1" applyBorder="1" xfId="37" applyProtection="1" applyAlignment="1">
      <alignment vertical="center" wrapText="1" readingOrder="1"/>
    </xf>
    <xf numFmtId="164" applyNumberFormat="1" fontId="5" applyFont="1" fillId="5" applyFill="1" borderId="4" applyBorder="1" xfId="37" applyProtection="1" applyAlignment="1">
      <alignment vertical="center" wrapText="1" readingOrder="1"/>
    </xf>
    <xf numFmtId="164" applyNumberFormat="1" fontId="5" applyFont="1" fillId="5" applyFill="1" borderId="14" applyBorder="1" xfId="37" applyProtection="1" applyAlignment="1">
      <alignment vertical="center" wrapText="1" readingOrder="1"/>
    </xf>
    <xf numFmtId="164" applyNumberFormat="1" fontId="7" applyFont="1" fillId="3" applyFill="1" borderId="1" applyBorder="1" xfId="37" applyProtection="1" applyAlignment="1">
      <alignment horizontal="left" vertical="center" wrapText="1" readingOrder="1"/>
    </xf>
    <xf numFmtId="164" applyNumberFormat="1" fontId="39" applyFont="1" fillId="4" applyFill="1" borderId="4" applyBorder="1" xfId="37" applyProtection="1" applyAlignment="1">
      <alignment horizontal="center" vertical="center" wrapText="1" readingOrder="1"/>
    </xf>
    <xf numFmtId="164" applyNumberFormat="1" fontId="39" applyFont="1" fillId="4" applyFill="1" borderId="14" applyBorder="1" xfId="37" applyProtection="1" applyAlignment="1">
      <alignment horizontal="center" vertical="center" wrapText="1" readingOrder="1"/>
    </xf>
    <xf numFmtId="164" applyNumberFormat="1" fontId="40" applyFont="1" fillId="5" applyFill="1" borderId="4" applyBorder="1" xfId="37" applyProtection="1" applyAlignment="1">
      <alignment vertical="center" wrapText="1" readingOrder="1"/>
    </xf>
    <xf numFmtId="164" applyNumberFormat="1" fontId="40" applyFont="1" fillId="5" applyFill="1" borderId="14" applyBorder="1" xfId="37" applyProtection="1" applyAlignment="1">
      <alignment vertical="center" wrapText="1" readingOrder="1"/>
    </xf>
    <xf numFmtId="164" applyNumberFormat="1" fontId="39" applyFont="1" fillId="3" applyFill="1" borderId="15" applyBorder="1" xfId="37" applyProtection="1" applyAlignment="1">
      <alignment vertical="center" wrapText="1" readingOrder="1"/>
    </xf>
    <xf numFmtId="164" applyNumberFormat="1" fontId="39" applyFont="1" fillId="3" applyFill="1" borderId="1" applyBorder="1" xfId="37" applyProtection="1" applyAlignment="1">
      <alignment horizontal="left" vertical="center" wrapText="1" readingOrder="1"/>
    </xf>
    <xf numFmtId="164" applyNumberFormat="1" fontId="39" applyFont="1" fillId="37" applyFill="1" borderId="6" applyBorder="1" xfId="37" applyProtection="1" applyAlignment="1">
      <alignment horizontal="right" vertical="center" wrapText="1" readingOrder="1"/>
    </xf>
    <xf numFmtId="164" applyNumberFormat="1" fontId="39" applyFont="1" fillId="37" applyFill="1" borderId="15" applyBorder="1" xfId="37" applyProtection="1" applyAlignment="1">
      <alignment horizontal="right" vertical="center" wrapText="1" readingOrder="1"/>
    </xf>
    <xf numFmtId="164" applyNumberFormat="1" fontId="40" applyFont="1" fillId="5" applyFill="1" borderId="8" applyBorder="1" xfId="37" applyProtection="1" applyAlignment="1">
      <alignment horizontal="left" vertical="center" wrapText="1" readingOrder="1"/>
    </xf>
    <xf numFmtId="164" applyNumberFormat="1" fontId="40" applyFont="1" fillId="5" applyFill="1" borderId="13" applyBorder="1" xfId="37" applyProtection="1" applyAlignment="1">
      <alignment horizontal="left" vertical="center" wrapText="1" readingOrder="1"/>
    </xf>
    <xf numFmtId="164" applyNumberFormat="1" fontId="39" applyFont="1" fillId="3" applyFill="1" borderId="1" applyBorder="1" xfId="37" applyProtection="1" applyAlignment="1">
      <alignment vertical="center" wrapText="1" readingOrder="1"/>
    </xf>
    <xf numFmtId="164" applyNumberFormat="1" fontId="39" applyFont="1" fillId="3" applyFill="1" borderId="12" applyBorder="1" xfId="37" applyProtection="1" applyAlignment="1">
      <alignment vertical="center" wrapText="1" readingOrder="1"/>
    </xf>
    <xf numFmtId="164" applyNumberFormat="1" fontId="39" applyFont="1" fillId="3" applyFill="1" borderId="13" applyBorder="1" xfId="37" applyProtection="1" applyAlignment="1">
      <alignment vertical="center" wrapText="1" readingOrder="1"/>
    </xf>
    <xf numFmtId="0" applyNumberFormat="1" fontId="0" applyFont="1" fillId="0" applyFill="1" borderId="26" applyBorder="1" xfId="0" applyProtection="1" applyAlignment="1">
      <alignment horizontal="center" vertical="center" wrapText="1"/>
    </xf>
    <xf numFmtId="0" applyNumberFormat="1" fontId="0" applyFont="1" fillId="0" applyFill="1" borderId="26" applyBorder="1" xfId="0" applyProtection="1" applyAlignment="1">
      <alignment horizontal="left" vertical="center" wrapText="1"/>
    </xf>
    <xf numFmtId="0" applyNumberFormat="1" fontId="8" applyFont="1" fillId="0" applyFill="1" borderId="1" applyBorder="1" xfId="0" applyProtection="1" applyAlignment="1">
      <alignment horizontal="left" vertical="center" wrapText="1" readingOrder="1"/>
    </xf>
    <xf numFmtId="0" applyNumberFormat="1" fontId="6" applyFont="1" fillId="0" applyFill="1" borderId="0" applyBorder="1" xfId="0" applyProtection="1">
      <alignment wrapText="1"/>
    </xf>
    <xf numFmtId="0" applyNumberFormat="1" fontId="8" applyFont="1" fillId="0" applyFill="1" borderId="26" applyBorder="1" xfId="0" applyProtection="1" applyAlignment="1">
      <alignment horizontal="center" vertical="center" wrapText="1"/>
    </xf>
    <xf numFmtId="0" applyNumberFormat="1" fontId="8" applyFont="1" fillId="0" applyFill="1" borderId="26" applyBorder="1" xfId="0" applyProtection="1" applyAlignment="1">
      <alignment horizontal="left" vertical="center" wrapText="1" readingOrder="1"/>
    </xf>
    <xf numFmtId="0" applyNumberFormat="1" fontId="44" applyFont="1" fillId="38" applyFill="1" borderId="26" applyBorder="1" xfId="38" applyProtection="1"/>
    <xf numFmtId="0" applyNumberFormat="1" fontId="6" applyFont="1" fillId="38" applyFill="1" borderId="26" applyBorder="1" xfId="38" applyProtection="1"/>
    <xf numFmtId="0" applyNumberFormat="1" fontId="44" applyFont="1" fillId="38" applyFill="1" borderId="26" applyBorder="1" xfId="38" applyProtection="1" applyAlignment="1">
      <alignment horizontal="center"/>
    </xf>
    <xf numFmtId="0" applyNumberFormat="1" fontId="6" applyFont="1" fillId="38" applyFill="1" borderId="26" applyBorder="1" xfId="38" applyProtection="1" applyAlignment="1">
      <alignment horizontal="center"/>
    </xf>
    <xf numFmtId="0" applyNumberFormat="1" fontId="8" applyFont="1" fillId="0" applyFill="1" borderId="0" applyBorder="1" xfId="0" applyProtection="1" applyAlignment="1">
      <alignment vertical="center" wrapText="1"/>
    </xf>
    <xf numFmtId="164" applyNumberFormat="1" fontId="8" applyFont="1" fillId="0" applyFill="1" borderId="27" applyBorder="1" xfId="0" applyProtection="1" applyAlignment="1">
      <alignment horizontal="center" vertical="center" wrapText="1"/>
    </xf>
    <xf numFmtId="9" applyNumberFormat="1" fontId="8" applyFont="1" fillId="0" applyFill="1" borderId="27" applyBorder="1" xfId="41" applyProtection="1" applyAlignment="1">
      <alignment horizontal="center" vertical="center" wrapText="1"/>
    </xf>
  </cellXfs>
  <cellStyles count="4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/>
    <cellStyle name="Normal 3" xfId="38"/>
    <cellStyle name="Note 2" xfId="39"/>
    <cellStyle name="Output" xfId="40" builtinId="21" customBuiltin="1"/>
    <cellStyle name="Percent" xfId="41" builtinId="5"/>
    <cellStyle name="Percent 2" xfId="42"/>
    <cellStyle name="Title" xfId="43" builtinId="15" customBuiltin="1"/>
    <cellStyle name="Total" xfId="44" builtinId="25" customBuiltin="1"/>
    <cellStyle name="Warning Text" xfId="45" builtinId="11" customBuiltin="1"/>
  </cellStyles>
  <dxfs count="6">
    <dxf>
      <font>
        <color theme="0"/>
      </font>
      <fill>
        <patternFill>
          <bgColor rgb="FFA31E22"/>
        </patternFill>
      </fill>
    </dxf>
    <d:dxf xmlns:d="http://schemas.openxmlformats.org/spreadsheetml/2006/main">
      <font>
        <color rgb="ffffffff"/>
      </font>
      <fill>
        <patternFill>
          <bgColor rgb="ffa31e22"/>
        </patternFill>
      </fill>
    </d:dxf>
    <d:dxf xmlns:d="http://schemas.openxmlformats.org/spreadsheetml/2006/main">
      <fill>
        <patternFill>
          <bgColor rgb="ffff8500"/>
        </patternFill>
      </fill>
    </d:dxf>
    <d:dxf xmlns:d="http://schemas.openxmlformats.org/spreadsheetml/2006/main">
      <fill>
        <patternFill>
          <bgColor rgb="ffffb81c"/>
        </patternFill>
      </fill>
    </d:dxf>
    <d:dxf xmlns:d="http://schemas.openxmlformats.org/spreadsheetml/2006/main">
      <fill>
        <patternFill>
          <bgColor rgb="ff00c389"/>
        </patternFill>
      </fill>
    </d:dxf>
    <d:dxf xmlns:d="http://schemas.openxmlformats.org/spreadsheetml/2006/main">
      <fill>
        <patternFill>
          <bgColor rgb="ff009865"/>
        </patternFill>
      </fill>
    </d:dxf>
  </dxfs>
  <tableStyles count="0" defaultTableStyle="TableStyleMedium2" defaultPivotStyle="PivotStyleLight16"/>
  <colors>
    <mruColors>
      <color rgb="FFA31E22"/>
      <color rgb="FFFFFF01"/>
      <color rgb="FFFF8500"/>
      <color rgb="FFFFB81C"/>
      <color rgb="FF889E0A"/>
      <color rgb="FF00C389"/>
      <color rgb="FF009865"/>
      <color rgb="FF1954FF"/>
      <color rgb="FF19B17E"/>
      <color rgb="FF00AC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5" Type="http://schemas.openxmlformats.org/officeDocument/2006/relationships/worksheet" Target="worksheets/sheet25.xml"/><Relationship Id="rId16" Type="http://schemas.openxmlformats.org/officeDocument/2006/relationships/worksheet" Target="worksheets/sheet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050"/>
              <a:t>Analysis of Risks</a:t>
            </a:r>
            <a:r>
              <a:rPr lang="en-US" sz="1050" baseline="0"/>
              <a:t> by Category and Gross Risk Score (GRS)</a:t>
            </a:r>
            <a:endParaRPr lang="en-US" sz="1050"/>
          </a:p>
        </c:rich>
      </c:tx>
      <c:layout>
        <c:manualLayout>
          <c:xMode val="edge"/>
          <c:yMode val="edge"/>
          <c:x val="0.22753342765003737"/>
          <c:y val="4.7899236059179749E-2"/>
        </c:manualLayout>
      </c:layout>
      <c:overlay val="0"/>
      <c:spPr>
        <a:noFill/>
        <a:ln w="25400">
          <a:noFill/>
        </a:ln>
      </c:spPr>
    </c:title>
    <c:autoTitleDeleted val="0"/>
    <c:view3D>
      <c:rotX val="0"/>
      <c:hPercent val="135"/>
      <c:rotY val="0"/>
      <c:depthPercent val="100"/>
      <c:rAngAx val="1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chemeClr val="bg1">
            <a:lumMod val="95000"/>
          </a:schemeClr>
        </a:solidFill>
        <a:ln w="3175">
          <a:solidFill>
            <a:schemeClr val="bg1">
              <a:lumMod val="85000"/>
            </a:schemeClr>
          </a:solidFill>
          <a:prstDash val="solid"/>
        </a:ln>
      </c:spPr>
    </c:sideWall>
    <c:backWall>
      <c:thickness val="0"/>
      <c:spPr>
        <a:solidFill>
          <a:schemeClr val="bg1">
            <a:lumMod val="95000"/>
          </a:schemeClr>
        </a:solidFill>
        <a:ln w="3175">
          <a:solidFill>
            <a:schemeClr val="bg1">
              <a:lumMod val="85000"/>
            </a:schemeClr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9099821006240669"/>
          <c:y val="0.15555506678983563"/>
          <c:w val="0.78495379098739415"/>
          <c:h val="0.64067566973122769"/>
        </c:manualLayout>
      </c:layout>
      <c:bar3DChart>
        <c:barDir val="bar"/>
        <c:grouping val="stacked"/>
        <c:varyColors val="0"/>
        <c:ser>
          <c:idx val="0"/>
          <c:order val="0"/>
          <c:tx>
            <c:strRef>
              <c:f>'Source of Risk'!$L$4</c:f>
              <c:strCache>
                <c:ptCount val="1"/>
              </c:strCache>
            </c:strRef>
          </c:tx>
          <c:spPr>
            <a:solidFill>
              <a:srgbClr val="A31E22"/>
            </a:solidFill>
            <a:ln w="12700">
              <a:noFill/>
              <a:prstDash val="solid"/>
            </a:ln>
          </c:spPr>
          <c:invertIfNegative val="0"/>
          <c:cat>
            <c:numRef>
              <c:f>'Source of Risk'!$K$5:$K$7</c:f>
              <c:numCache>
                <c:formatCode>General</c:formatCode>
                <c:ptCount val="9"/>
              </c:numCache>
            </c:numRef>
          </c:cat>
          <c:val>
            <c:numRef>
              <c:f>'Source of Risk'!$L$5:$L$7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8CE3-428C-AC8A-03352C9E91CC}"/>
            </c:ext>
          </c:extLst>
        </c:ser>
        <c:ser>
          <c:idx val="2"/>
          <c:order val="1"/>
          <c:tx>
            <c:strRef>
              <c:f>'Source of Risk'!$M$4</c:f>
              <c:strCache>
                <c:ptCount val="1"/>
              </c:strCache>
            </c:strRef>
          </c:tx>
          <c:spPr>
            <a:solidFill>
              <a:srgbClr val="FF8500"/>
            </a:solidFill>
            <a:ln w="12700">
              <a:noFill/>
              <a:prstDash val="solid"/>
            </a:ln>
          </c:spPr>
          <c:invertIfNegative val="0"/>
          <c:cat>
            <c:numRef>
              <c:f>'Source of Risk'!$K$5:$K$7</c:f>
              <c:numCache>
                <c:formatCode>General</c:formatCode>
                <c:ptCount val="9"/>
              </c:numCache>
            </c:numRef>
          </c:cat>
          <c:val>
            <c:numRef>
              <c:f>'Source of Risk'!$M$5:$M$7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1-8CE3-428C-AC8A-03352C9E91CC}"/>
            </c:ext>
          </c:extLst>
        </c:ser>
        <c:ser>
          <c:idx val="3"/>
          <c:order val="2"/>
          <c:tx>
            <c:strRef>
              <c:f>'Source of Risk'!$N$4</c:f>
              <c:strCache>
                <c:ptCount val="1"/>
              </c:strCache>
            </c:strRef>
          </c:tx>
          <c:spPr>
            <a:solidFill>
              <a:srgbClr val="19B17E"/>
            </a:solidFill>
            <a:ln w="12700">
              <a:noFill/>
              <a:prstDash val="solid"/>
            </a:ln>
          </c:spPr>
          <c:invertIfNegative val="0"/>
          <c:cat>
            <c:numRef>
              <c:f>'Source of Risk'!$K$5:$K$7</c:f>
              <c:numCache>
                <c:formatCode>General</c:formatCode>
                <c:ptCount val="9"/>
              </c:numCache>
            </c:numRef>
          </c:cat>
          <c:val>
            <c:numRef>
              <c:f>'Source of Risk'!$N$5:$N$7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2-8CE3-428C-AC8A-03352C9E91CC}"/>
            </c:ext>
          </c:extLst>
        </c:ser>
        <c:ser>
          <c:idx val="4"/>
          <c:order val="3"/>
          <c:tx>
            <c:strRef>
              <c:f>'Source of Risk'!$O$4</c:f>
              <c:strCache>
                <c:ptCount val="1"/>
              </c:strCache>
            </c:strRef>
          </c:tx>
          <c:spPr>
            <a:solidFill>
              <a:srgbClr val="1954FF"/>
            </a:solidFill>
            <a:ln w="12700">
              <a:noFill/>
              <a:prstDash val="solid"/>
            </a:ln>
          </c:spPr>
          <c:invertIfNegative val="0"/>
          <c:cat>
            <c:numRef>
              <c:f>'Source of Risk'!$K$5:$K$7</c:f>
              <c:numCache>
                <c:formatCode>General</c:formatCode>
                <c:ptCount val="9"/>
              </c:numCache>
            </c:numRef>
          </c:cat>
          <c:val>
            <c:numRef>
              <c:f>'Source of Risk'!$O$5:$O$7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3-8CE3-428C-AC8A-03352C9E9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gapDepth val="100"/>
        <c:shape val="box"/>
        <c:axId val="83403136"/>
        <c:axId val="83405056"/>
        <c:axId val="0"/>
      </c:bar3DChart>
      <c:catAx>
        <c:axId val="8340313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900" b="1"/>
                </a:pPr>
                <a:r>
                  <a:rPr lang="en-US" sz="900" b="1"/>
                  <a:t>Category</a:t>
                </a:r>
              </a:p>
            </c:rich>
          </c:tx>
          <c:layout>
            <c:manualLayout>
              <c:xMode val="edge"/>
              <c:yMode val="edge"/>
              <c:x val="5.5955528244994801E-3"/>
              <c:y val="0.41665836413305479"/>
            </c:manualLayout>
          </c:layout>
          <c:overlay val="0"/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3405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340505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 b="1"/>
                </a:pPr>
                <a:r>
                  <a:rPr lang="en-US" sz="900" b="1"/>
                  <a:t>Number of Risks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3403136"/>
        <c:crosses val="autoZero"/>
        <c:crossBetween val="between"/>
        <c:majorUnit val="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1978221415607986"/>
          <c:y val="0.90306133521019372"/>
          <c:w val="0.85480943738656989"/>
          <c:h val="8.4183639056291115E-2"/>
        </c:manualLayout>
      </c:layout>
      <c:overlay val="0"/>
      <c:spPr>
        <a:noFill/>
        <a:ln w="3175">
          <a:noFill/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3175">
      <a:solidFill>
        <a:sysClr val="windowText" lastClr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44652908067542"/>
          <c:y val="4.1162227602905568E-2"/>
          <c:w val="0.85508291595136543"/>
          <c:h val="0.84363294516807186"/>
        </c:manualLayout>
      </c:layout>
      <c:bubbleChart>
        <c:varyColors val="0"/>
        <c:ser>
          <c:idx val="0"/>
          <c:order val="0"/>
          <c:tx>
            <c:v>AfterBC</c:v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00986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2B2C-4B3A-BE98-4DA56B3E6B71}"/>
              </c:ext>
            </c:extLst>
          </c:dPt>
          <c:dPt>
            <c:idx val="1"/>
            <c:invertIfNegative val="1"/>
            <c:bubble3D val="0"/>
            <c:spPr>
              <a:solidFill>
                <a:srgbClr val="00986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2B2C-4B3A-BE98-4DA56B3E6B71}"/>
              </c:ext>
            </c:extLst>
          </c:dPt>
          <c:dPt>
            <c:idx val="2"/>
            <c:invertIfNegative val="1"/>
            <c:bubble3D val="0"/>
            <c:spPr>
              <a:solidFill>
                <a:srgbClr val="00C38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2B2C-4B3A-BE98-4DA56B3E6B71}"/>
              </c:ext>
            </c:extLst>
          </c:dPt>
          <c:dPt>
            <c:idx val="3"/>
            <c:invertIfNegative val="1"/>
            <c:bubble3D val="0"/>
            <c:spPr>
              <a:solidFill>
                <a:srgbClr val="FFB81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2B2C-4B3A-BE98-4DA56B3E6B71}"/>
              </c:ext>
            </c:extLst>
          </c:dPt>
          <c:dPt>
            <c:idx val="4"/>
            <c:invertIfNegative val="1"/>
            <c:bubble3D val="0"/>
            <c:spPr>
              <a:solidFill>
                <a:srgbClr val="FF85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2B2C-4B3A-BE98-4DA56B3E6B71}"/>
              </c:ext>
            </c:extLst>
          </c:dPt>
          <c:dPt>
            <c:idx val="5"/>
            <c:invertIfNegative val="1"/>
            <c:bubble3D val="0"/>
            <c:spPr>
              <a:solidFill>
                <a:srgbClr val="00986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2B2C-4B3A-BE98-4DA56B3E6B71}"/>
              </c:ext>
            </c:extLst>
          </c:dPt>
          <c:dPt>
            <c:idx val="6"/>
            <c:invertIfNegative val="1"/>
            <c:bubble3D val="0"/>
            <c:spPr>
              <a:solidFill>
                <a:srgbClr val="00C38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2B2C-4B3A-BE98-4DA56B3E6B71}"/>
              </c:ext>
            </c:extLst>
          </c:dPt>
          <c:dPt>
            <c:idx val="7"/>
            <c:invertIfNegative val="1"/>
            <c:bubble3D val="0"/>
            <c:spPr>
              <a:solidFill>
                <a:srgbClr val="889E0A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2B2C-4B3A-BE98-4DA56B3E6B71}"/>
              </c:ext>
            </c:extLst>
          </c:dPt>
          <c:dPt>
            <c:idx val="8"/>
            <c:invertIfNegative val="1"/>
            <c:bubble3D val="0"/>
            <c:spPr>
              <a:solidFill>
                <a:srgbClr val="FFB81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2B2C-4B3A-BE98-4DA56B3E6B71}"/>
              </c:ext>
            </c:extLst>
          </c:dPt>
          <c:dPt>
            <c:idx val="9"/>
            <c:invertIfNegative val="1"/>
            <c:bubble3D val="0"/>
            <c:spPr>
              <a:solidFill>
                <a:srgbClr val="A31E2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2B2C-4B3A-BE98-4DA56B3E6B71}"/>
              </c:ext>
            </c:extLst>
          </c:dPt>
          <c:dPt>
            <c:idx val="10"/>
            <c:invertIfNegative val="1"/>
            <c:bubble3D val="0"/>
            <c:spPr>
              <a:solidFill>
                <a:srgbClr val="00C38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5-2B2C-4B3A-BE98-4DA56B3E6B71}"/>
              </c:ext>
            </c:extLst>
          </c:dPt>
          <c:dPt>
            <c:idx val="11"/>
            <c:invertIfNegative val="1"/>
            <c:bubble3D val="0"/>
            <c:spPr>
              <a:solidFill>
                <a:srgbClr val="889E0A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7-2B2C-4B3A-BE98-4DA56B3E6B71}"/>
              </c:ext>
            </c:extLst>
          </c:dPt>
          <c:dPt>
            <c:idx val="12"/>
            <c:invertIfNegative val="1"/>
            <c:bubble3D val="0"/>
            <c:spPr>
              <a:solidFill>
                <a:srgbClr val="FFB81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9-2B2C-4B3A-BE98-4DA56B3E6B71}"/>
              </c:ext>
            </c:extLst>
          </c:dPt>
          <c:dPt>
            <c:idx val="13"/>
            <c:invertIfNegative val="1"/>
            <c:bubble3D val="0"/>
            <c:spPr>
              <a:solidFill>
                <a:srgbClr val="FF85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B-2B2C-4B3A-BE98-4DA56B3E6B71}"/>
              </c:ext>
            </c:extLst>
          </c:dPt>
          <c:dPt>
            <c:idx val="14"/>
            <c:invertIfNegative val="1"/>
            <c:bubble3D val="0"/>
            <c:spPr>
              <a:solidFill>
                <a:srgbClr val="A31E2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D-2B2C-4B3A-BE98-4DA56B3E6B71}"/>
              </c:ext>
            </c:extLst>
          </c:dPt>
          <c:dPt>
            <c:idx val="15"/>
            <c:invertIfNegative val="1"/>
            <c:bubble3D val="0"/>
            <c:spPr>
              <a:solidFill>
                <a:srgbClr val="889E0A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F-2B2C-4B3A-BE98-4DA56B3E6B71}"/>
              </c:ext>
            </c:extLst>
          </c:dPt>
          <c:dPt>
            <c:idx val="16"/>
            <c:invertIfNegative val="1"/>
            <c:bubble3D val="0"/>
            <c:spPr>
              <a:solidFill>
                <a:srgbClr val="FFB81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1-2B2C-4B3A-BE98-4DA56B3E6B71}"/>
              </c:ext>
            </c:extLst>
          </c:dPt>
          <c:dPt>
            <c:idx val="17"/>
            <c:invertIfNegative val="1"/>
            <c:bubble3D val="0"/>
            <c:spPr>
              <a:solidFill>
                <a:srgbClr val="FF85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3-2B2C-4B3A-BE98-4DA56B3E6B71}"/>
              </c:ext>
            </c:extLst>
          </c:dPt>
          <c:dPt>
            <c:idx val="18"/>
            <c:invertIfNegative val="1"/>
            <c:bubble3D val="0"/>
            <c:spPr>
              <a:solidFill>
                <a:srgbClr val="A31E2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5-2B2C-4B3A-BE98-4DA56B3E6B71}"/>
              </c:ext>
            </c:extLst>
          </c:dPt>
          <c:dPt>
            <c:idx val="19"/>
            <c:invertIfNegative val="1"/>
            <c:bubble3D val="0"/>
            <c:spPr>
              <a:solidFill>
                <a:srgbClr val="A31E2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7-2B2C-4B3A-BE98-4DA56B3E6B71}"/>
              </c:ext>
            </c:extLst>
          </c:dPt>
          <c:dPt>
            <c:idx val="20"/>
            <c:invertIfNegative val="1"/>
            <c:bubble3D val="0"/>
            <c:spPr>
              <a:solidFill>
                <a:srgbClr val="FFB81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9-2B2C-4B3A-BE98-4DA56B3E6B71}"/>
              </c:ext>
            </c:extLst>
          </c:dPt>
          <c:dPt>
            <c:idx val="21"/>
            <c:invertIfNegative val="1"/>
            <c:bubble3D val="0"/>
            <c:spPr>
              <a:solidFill>
                <a:srgbClr val="FF85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B-2B2C-4B3A-BE98-4DA56B3E6B71}"/>
              </c:ext>
            </c:extLst>
          </c:dPt>
          <c:dPt>
            <c:idx val="22"/>
            <c:invertIfNegative val="1"/>
            <c:bubble3D val="0"/>
            <c:spPr>
              <a:solidFill>
                <a:srgbClr val="A31E2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D-2B2C-4B3A-BE98-4DA56B3E6B71}"/>
              </c:ext>
            </c:extLst>
          </c:dPt>
          <c:dPt>
            <c:idx val="23"/>
            <c:invertIfNegative val="1"/>
            <c:bubble3D val="0"/>
            <c:spPr>
              <a:solidFill>
                <a:srgbClr val="A31E2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F-2B2C-4B3A-BE98-4DA56B3E6B71}"/>
              </c:ext>
            </c:extLst>
          </c:dPt>
          <c:dPt>
            <c:idx val="24"/>
            <c:invertIfNegative val="1"/>
            <c:bubble3D val="0"/>
            <c:spPr>
              <a:solidFill>
                <a:srgbClr val="A31E2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1-2B2C-4B3A-BE98-4DA56B3E6B71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1</c:v>
              </c:pt>
              <c:pt idx="6">
                <c:v>2</c:v>
              </c:pt>
              <c:pt idx="7">
                <c:v>3</c:v>
              </c:pt>
              <c:pt idx="8">
                <c:v>4</c:v>
              </c:pt>
              <c:pt idx="9">
                <c:v>5</c:v>
              </c:pt>
              <c:pt idx="10">
                <c:v>1</c:v>
              </c:pt>
              <c:pt idx="11">
                <c:v>2</c:v>
              </c:pt>
              <c:pt idx="12">
                <c:v>3</c:v>
              </c:pt>
              <c:pt idx="13">
                <c:v>4</c:v>
              </c:pt>
              <c:pt idx="14">
                <c:v>5</c:v>
              </c:pt>
              <c:pt idx="15">
                <c:v>1</c:v>
              </c:pt>
              <c:pt idx="16">
                <c:v>2</c:v>
              </c:pt>
              <c:pt idx="17">
                <c:v>3</c:v>
              </c:pt>
              <c:pt idx="18">
                <c:v>4</c:v>
              </c:pt>
              <c:pt idx="19">
                <c:v>5</c:v>
              </c:pt>
              <c:pt idx="20">
                <c:v>1</c:v>
              </c:pt>
              <c:pt idx="21">
                <c:v>2</c:v>
              </c:pt>
              <c:pt idx="22">
                <c:v>3</c:v>
              </c:pt>
              <c:pt idx="23">
                <c:v>4</c:v>
              </c:pt>
              <c:pt idx="24">
                <c:v>5</c:v>
              </c:pt>
            </c:numLit>
          </c:xVal>
          <c:yVal>
            <c:numLit>
              <c:formatCode>General</c:formatCode>
              <c:ptCount val="2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  <c:pt idx="10">
                <c:v>3</c:v>
              </c:pt>
              <c:pt idx="11">
                <c:v>3</c:v>
              </c:pt>
              <c:pt idx="12">
                <c:v>3</c:v>
              </c:pt>
              <c:pt idx="13">
                <c:v>3</c:v>
              </c:pt>
              <c:pt idx="14">
                <c:v>3</c:v>
              </c:pt>
              <c:pt idx="15">
                <c:v>4</c:v>
              </c:pt>
              <c:pt idx="16">
                <c:v>4</c:v>
              </c:pt>
              <c:pt idx="17">
                <c:v>4</c:v>
              </c:pt>
              <c:pt idx="18">
                <c:v>4</c:v>
              </c:pt>
              <c:pt idx="19">
                <c:v>4</c:v>
              </c:pt>
              <c:pt idx="20">
                <c:v>5</c:v>
              </c:pt>
              <c:pt idx="21">
                <c:v>5</c:v>
              </c:pt>
              <c:pt idx="22">
                <c:v>5</c:v>
              </c:pt>
              <c:pt idx="23">
                <c:v>5</c:v>
              </c:pt>
              <c:pt idx="24">
                <c:v>5</c:v>
              </c:pt>
            </c:numLit>
          </c:yVal>
          <c:bubbleSize>
            <c:numRef>
              <c:f>'L I Bubble'!$Z$32:$Z$56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bubbleSize>
          <c:bubble3D val="0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32-2B2C-4B3A-BE98-4DA56B3E6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80"/>
        <c:showNegBubbles val="0"/>
        <c:axId val="88005632"/>
        <c:axId val="87688320"/>
      </c:bubbleChart>
      <c:valAx>
        <c:axId val="88005632"/>
        <c:scaling>
          <c:orientation val="minMax"/>
          <c:max val="6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="0"/>
                  <a:t>Impact</a:t>
                </a:r>
              </a:p>
            </c:rich>
          </c:tx>
          <c:layout>
            <c:manualLayout>
              <c:xMode val="edge"/>
              <c:yMode val="edge"/>
              <c:x val="0.49530957910836687"/>
              <c:y val="0.9322035491832176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7688320"/>
        <c:crosses val="autoZero"/>
        <c:crossBetween val="midCat"/>
      </c:valAx>
      <c:valAx>
        <c:axId val="87688320"/>
        <c:scaling>
          <c:orientation val="minMax"/>
          <c:max val="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="0"/>
                  <a:t>Likelihood</a:t>
                </a:r>
              </a:p>
            </c:rich>
          </c:tx>
          <c:layout>
            <c:manualLayout>
              <c:xMode val="edge"/>
              <c:yMode val="edge"/>
              <c:x val="3.1895050888423121E-2"/>
              <c:y val="0.3680385474203784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0056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44652908067542"/>
          <c:y val="4.1162227602905568E-2"/>
          <c:w val="0.85267458416481867"/>
          <c:h val="0.84073856307820249"/>
        </c:manualLayout>
      </c:layout>
      <c:bubbleChart>
        <c:varyColors val="0"/>
        <c:ser>
          <c:idx val="0"/>
          <c:order val="0"/>
          <c:tx>
            <c:v>BeforeBC</c:v>
          </c:tx>
          <c:spPr>
            <a:solidFill>
              <a:srgbClr val="0099FF"/>
            </a:solidFill>
            <a:ln>
              <a:solidFill>
                <a:sysClr val="windowText" lastClr="000000"/>
              </a:solidFill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009865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DB47-44CE-A80A-E6E733435ECF}"/>
              </c:ext>
            </c:extLst>
          </c:dPt>
          <c:dPt>
            <c:idx val="1"/>
            <c:invertIfNegative val="1"/>
            <c:bubble3D val="0"/>
            <c:spPr>
              <a:solidFill>
                <a:srgbClr val="009865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DB47-44CE-A80A-E6E733435ECF}"/>
              </c:ext>
            </c:extLst>
          </c:dPt>
          <c:dPt>
            <c:idx val="2"/>
            <c:invertIfNegative val="1"/>
            <c:bubble3D val="0"/>
            <c:spPr>
              <a:solidFill>
                <a:srgbClr val="00C389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DB47-44CE-A80A-E6E733435ECF}"/>
              </c:ext>
            </c:extLst>
          </c:dPt>
          <c:dPt>
            <c:idx val="3"/>
            <c:invertIfNegative val="1"/>
            <c:bubble3D val="0"/>
            <c:spPr>
              <a:solidFill>
                <a:srgbClr val="FFB81C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DB47-44CE-A80A-E6E733435ECF}"/>
              </c:ext>
            </c:extLst>
          </c:dPt>
          <c:dPt>
            <c:idx val="4"/>
            <c:invertIfNegative val="1"/>
            <c:bubble3D val="0"/>
            <c:spPr>
              <a:solidFill>
                <a:srgbClr val="FF8500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DB47-44CE-A80A-E6E733435ECF}"/>
              </c:ext>
            </c:extLst>
          </c:dPt>
          <c:dPt>
            <c:idx val="5"/>
            <c:invertIfNegative val="1"/>
            <c:bubble3D val="0"/>
            <c:spPr>
              <a:solidFill>
                <a:srgbClr val="009865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DB47-44CE-A80A-E6E733435ECF}"/>
              </c:ext>
            </c:extLst>
          </c:dPt>
          <c:dPt>
            <c:idx val="6"/>
            <c:invertIfNegative val="1"/>
            <c:bubble3D val="0"/>
            <c:spPr>
              <a:solidFill>
                <a:srgbClr val="00C389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DB47-44CE-A80A-E6E733435ECF}"/>
              </c:ext>
            </c:extLst>
          </c:dPt>
          <c:dPt>
            <c:idx val="7"/>
            <c:invertIfNegative val="1"/>
            <c:bubble3D val="0"/>
            <c:spPr>
              <a:solidFill>
                <a:srgbClr val="889E0A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DB47-44CE-A80A-E6E733435ECF}"/>
              </c:ext>
            </c:extLst>
          </c:dPt>
          <c:dPt>
            <c:idx val="8"/>
            <c:invertIfNegative val="1"/>
            <c:bubble3D val="0"/>
            <c:spPr>
              <a:solidFill>
                <a:srgbClr val="FFB81C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1-DB47-44CE-A80A-E6E733435ECF}"/>
              </c:ext>
            </c:extLst>
          </c:dPt>
          <c:dPt>
            <c:idx val="9"/>
            <c:invertIfNegative val="1"/>
            <c:bubble3D val="0"/>
            <c:spPr>
              <a:solidFill>
                <a:srgbClr val="A31E22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3-DB47-44CE-A80A-E6E733435ECF}"/>
              </c:ext>
            </c:extLst>
          </c:dPt>
          <c:dPt>
            <c:idx val="10"/>
            <c:invertIfNegative val="1"/>
            <c:bubble3D val="0"/>
            <c:spPr>
              <a:solidFill>
                <a:srgbClr val="00C389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5-DB47-44CE-A80A-E6E733435ECF}"/>
              </c:ext>
            </c:extLst>
          </c:dPt>
          <c:dPt>
            <c:idx val="11"/>
            <c:invertIfNegative val="1"/>
            <c:bubble3D val="0"/>
            <c:spPr>
              <a:solidFill>
                <a:srgbClr val="889E0A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DB47-44CE-A80A-E6E733435ECF}"/>
              </c:ext>
            </c:extLst>
          </c:dPt>
          <c:dPt>
            <c:idx val="12"/>
            <c:invertIfNegative val="1"/>
            <c:bubble3D val="0"/>
            <c:spPr>
              <a:solidFill>
                <a:srgbClr val="FFB81C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DB47-44CE-A80A-E6E733435ECF}"/>
              </c:ext>
            </c:extLst>
          </c:dPt>
          <c:dPt>
            <c:idx val="13"/>
            <c:invertIfNegative val="1"/>
            <c:bubble3D val="0"/>
            <c:spPr>
              <a:solidFill>
                <a:srgbClr val="FF8500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DB47-44CE-A80A-E6E733435ECF}"/>
              </c:ext>
            </c:extLst>
          </c:dPt>
          <c:dPt>
            <c:idx val="14"/>
            <c:invertIfNegative val="1"/>
            <c:bubble3D val="0"/>
            <c:spPr>
              <a:solidFill>
                <a:srgbClr val="A31E22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DB47-44CE-A80A-E6E733435ECF}"/>
              </c:ext>
            </c:extLst>
          </c:dPt>
          <c:dPt>
            <c:idx val="15"/>
            <c:invertIfNegative val="1"/>
            <c:bubble3D val="0"/>
            <c:spPr>
              <a:solidFill>
                <a:srgbClr val="889E0A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DB47-44CE-A80A-E6E733435ECF}"/>
              </c:ext>
            </c:extLst>
          </c:dPt>
          <c:dPt>
            <c:idx val="16"/>
            <c:invertIfNegative val="1"/>
            <c:bubble3D val="0"/>
            <c:spPr>
              <a:solidFill>
                <a:srgbClr val="FFB81C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DB47-44CE-A80A-E6E733435ECF}"/>
              </c:ext>
            </c:extLst>
          </c:dPt>
          <c:dPt>
            <c:idx val="17"/>
            <c:invertIfNegative val="1"/>
            <c:bubble3D val="0"/>
            <c:spPr>
              <a:solidFill>
                <a:srgbClr val="FF8500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DB47-44CE-A80A-E6E733435ECF}"/>
              </c:ext>
            </c:extLst>
          </c:dPt>
          <c:dPt>
            <c:idx val="18"/>
            <c:invertIfNegative val="1"/>
            <c:bubble3D val="0"/>
            <c:spPr>
              <a:solidFill>
                <a:srgbClr val="A31E22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DB47-44CE-A80A-E6E733435ECF}"/>
              </c:ext>
            </c:extLst>
          </c:dPt>
          <c:dPt>
            <c:idx val="19"/>
            <c:invertIfNegative val="1"/>
            <c:bubble3D val="0"/>
            <c:spPr>
              <a:solidFill>
                <a:srgbClr val="A31E22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DB47-44CE-A80A-E6E733435ECF}"/>
              </c:ext>
            </c:extLst>
          </c:dPt>
          <c:dPt>
            <c:idx val="20"/>
            <c:invertIfNegative val="1"/>
            <c:bubble3D val="0"/>
            <c:spPr>
              <a:solidFill>
                <a:srgbClr val="FFB81C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DB47-44CE-A80A-E6E733435ECF}"/>
              </c:ext>
            </c:extLst>
          </c:dPt>
          <c:dPt>
            <c:idx val="21"/>
            <c:invertIfNegative val="1"/>
            <c:bubble3D val="0"/>
            <c:spPr>
              <a:solidFill>
                <a:srgbClr val="FF8500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DB47-44CE-A80A-E6E733435ECF}"/>
              </c:ext>
            </c:extLst>
          </c:dPt>
          <c:dPt>
            <c:idx val="22"/>
            <c:invertIfNegative val="1"/>
            <c:bubble3D val="0"/>
            <c:spPr>
              <a:solidFill>
                <a:srgbClr val="A31E22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D-DB47-44CE-A80A-E6E733435ECF}"/>
              </c:ext>
            </c:extLst>
          </c:dPt>
          <c:dPt>
            <c:idx val="23"/>
            <c:invertIfNegative val="1"/>
            <c:bubble3D val="0"/>
            <c:spPr>
              <a:solidFill>
                <a:srgbClr val="A31E22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F-DB47-44CE-A80A-E6E733435ECF}"/>
              </c:ext>
            </c:extLst>
          </c:dPt>
          <c:dPt>
            <c:idx val="24"/>
            <c:invertIfNegative val="1"/>
            <c:bubble3D val="0"/>
            <c:spPr>
              <a:solidFill>
                <a:srgbClr val="A31E22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31-DB47-44CE-A80A-E6E733435E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/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'L I Bubble'!$Y$4:$Y$28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1</c:v>
                </c:pt>
                <c:pt idx="16">
                  <c:v>2</c:v>
                </c:pt>
                <c:pt idx="17">
                  <c:v>3</c:v>
                </c:pt>
                <c:pt idx="18">
                  <c:v>4</c:v>
                </c:pt>
                <c:pt idx="19">
                  <c:v>5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4</c:v>
                </c:pt>
                <c:pt idx="24">
                  <c:v>5</c:v>
                </c:pt>
              </c:numCache>
            </c:numRef>
          </c:xVal>
          <c:yVal>
            <c:numRef>
              <c:f>'L I Bubble'!$X$4:$X$28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</c:numCache>
            </c:numRef>
          </c:yVal>
          <c:bubbleSize>
            <c:numRef>
              <c:f>'L I Bubble'!$Z$4:$Z$28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bubbleSize>
          <c:bubble3D val="0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solidFill>
                      <a:sysClr val="windowText" lastClr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32-DB47-44CE-A80A-E6E733435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80"/>
        <c:showNegBubbles val="0"/>
        <c:axId val="87739776"/>
        <c:axId val="87746048"/>
      </c:bubbleChart>
      <c:valAx>
        <c:axId val="87739776"/>
        <c:scaling>
          <c:orientation val="minMax"/>
          <c:max val="6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="0"/>
                  <a:t>Impact</a:t>
                </a:r>
              </a:p>
            </c:rich>
          </c:tx>
          <c:layout>
            <c:manualLayout>
              <c:xMode val="edge"/>
              <c:yMode val="edge"/>
              <c:x val="0.49530966856990977"/>
              <c:y val="0.932203412073490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7746048"/>
        <c:crosses val="autoZero"/>
        <c:crossBetween val="midCat"/>
      </c:valAx>
      <c:valAx>
        <c:axId val="87746048"/>
        <c:scaling>
          <c:orientation val="minMax"/>
          <c:max val="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="0"/>
                  <a:t>Likelihood</a:t>
                </a:r>
              </a:p>
            </c:rich>
          </c:tx>
          <c:layout>
            <c:manualLayout>
              <c:xMode val="edge"/>
              <c:yMode val="edge"/>
              <c:x val="3.1894937183484975E-2"/>
              <c:y val="0.368038845144356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773977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&amp;C&amp;"Arial,Bold"&amp;16Risk Dispersion</c:oddHeader>
      <c:oddFooter>&amp;R&amp;F &amp;A &amp;D</c:oddFooter>
    </c:headerFooter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786729857819899E-2"/>
          <c:y val="4.4378698224852069E-2"/>
          <c:w val="0.87203791469194314"/>
          <c:h val="0.84023668639053251"/>
        </c:manualLayout>
      </c:layout>
      <c:barChart>
        <c:barDir val="col"/>
        <c:grouping val="stacked"/>
        <c:varyColors val="0"/>
        <c:ser>
          <c:idx val="0"/>
          <c:order val="0"/>
          <c:tx>
            <c:v>
            </c:v>
          </c:tx>
          <c:spPr>
            <a:solidFill>
              <a:srgbClr val="C0C0C0"/>
            </a:solidFill>
            <a:ln w="3175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6549-441F-9204-4A4D614EEC05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6549-441F-9204-4A4D614EEC05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6549-441F-9204-4A4D614EEC05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549-441F-9204-4A4D614EEC05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549-441F-9204-4A4D614EEC05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549-441F-9204-4A4D614EEC05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1: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549-441F-9204-4A4D614EEC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2: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549-441F-9204-4A4D614EEC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3: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549-441F-9204-4A4D614EEC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4: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549-441F-9204-4A4D614EEC0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5: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549-441F-9204-4A4D614EEC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6-6549-441F-9204-4A4D614EEC05}"/>
            </c:ext>
          </c:extLst>
        </c:ser>
        <c:ser>
          <c:idx val="1"/>
          <c:order val="1"/>
          <c:tx>
            <c:v>
            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6549-441F-9204-4A4D614EEC05}"/>
              </c:ext>
            </c:extLst>
          </c:dPt>
          <c:dPt>
            <c:idx val="1"/>
            <c:invertIfNegative val="0"/>
            <c:bubble3D val="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6549-441F-9204-4A4D614EEC05}"/>
              </c:ext>
            </c:extLst>
          </c:dPt>
          <c:dPt>
            <c:idx val="2"/>
            <c:invertIfNegative val="0"/>
            <c:bubble3D val="0"/>
            <c:spPr>
              <a:solidFill>
                <a:srgbClr val="33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6549-441F-9204-4A4D614EEC05}"/>
              </c:ext>
            </c:extLst>
          </c:dPt>
          <c:dPt>
            <c:idx val="3"/>
            <c:invertIfNegative val="0"/>
            <c:bubble3D val="0"/>
            <c:spPr>
              <a:solidFill>
                <a:srgbClr val="00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E-6549-441F-9204-4A4D614EEC05}"/>
              </c:ext>
            </c:extLst>
          </c:dPt>
          <c:dPt>
            <c:idx val="4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6549-441F-9204-4A4D614EEC05}"/>
              </c:ext>
            </c:extLst>
          </c:dPt>
          <c:dPt>
            <c:idx val="5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6549-441F-9204-4A4D614EEC0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1: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549-441F-9204-4A4D614EEC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3-6549-441F-9204-4A4D614EEC05}"/>
            </c:ext>
          </c:extLst>
        </c:ser>
        <c:ser>
          <c:idx val="2"/>
          <c:order val="2"/>
          <c:tx>
            <c:v>
            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5-6549-441F-9204-4A4D614EEC05}"/>
              </c:ext>
            </c:extLst>
          </c:dPt>
          <c:dPt>
            <c:idx val="1"/>
            <c:invertIfNegative val="0"/>
            <c:bubble3D val="0"/>
            <c:spPr>
              <a:solidFill>
                <a:srgbClr val="33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7-6549-441F-9204-4A4D614EEC05}"/>
              </c:ext>
            </c:extLst>
          </c:dPt>
          <c:dPt>
            <c:idx val="2"/>
            <c:invertIfNegative val="0"/>
            <c:bubble3D val="0"/>
            <c:spPr>
              <a:solidFill>
                <a:srgbClr val="00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9-6549-441F-9204-4A4D614EEC05}"/>
              </c:ext>
            </c:extLst>
          </c:dPt>
          <c:dPt>
            <c:idx val="3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B-6549-441F-9204-4A4D614EEC0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D-6549-441F-9204-4A4D614EEC05}"/>
              </c:ext>
            </c:extLst>
          </c:dPt>
          <c:dPt>
            <c:idx val="5"/>
            <c:invertIfNegative val="0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F-6549-441F-9204-4A4D614EEC0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2: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549-441F-9204-4A4D614EEC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0-6549-441F-9204-4A4D614EEC05}"/>
            </c:ext>
          </c:extLst>
        </c:ser>
        <c:ser>
          <c:idx val="3"/>
          <c:order val="3"/>
          <c:tx>
            <c:v>
            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2-6549-441F-9204-4A4D614EEC05}"/>
              </c:ext>
            </c:extLst>
          </c:dPt>
          <c:dPt>
            <c:idx val="1"/>
            <c:invertIfNegative val="0"/>
            <c:bubble3D val="0"/>
            <c:spPr>
              <a:solidFill>
                <a:srgbClr val="00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4-6549-441F-9204-4A4D614EEC05}"/>
              </c:ext>
            </c:extLst>
          </c:dPt>
          <c:dPt>
            <c:idx val="2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6-6549-441F-9204-4A4D614EEC05}"/>
              </c:ext>
            </c:extLst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8-6549-441F-9204-4A4D614EEC05}"/>
              </c:ext>
            </c:extLst>
          </c:dPt>
          <c:dPt>
            <c:idx val="4"/>
            <c:invertIfNegative val="0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A-6549-441F-9204-4A4D614EEC05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C-6549-441F-9204-4A4D614EEC0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3: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6549-441F-9204-4A4D614EEC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D-6549-441F-9204-4A4D614EEC05}"/>
            </c:ext>
          </c:extLst>
        </c:ser>
        <c:ser>
          <c:idx val="4"/>
          <c:order val="4"/>
          <c:tx>
            <c:v>
            </c:v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F-6549-441F-9204-4A4D614EEC05}"/>
              </c:ext>
            </c:extLst>
          </c:dPt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1-6549-441F-9204-4A4D614EEC05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3-6549-441F-9204-4A4D614EEC05}"/>
              </c:ext>
            </c:extLst>
          </c:dPt>
          <c:dPt>
            <c:idx val="3"/>
            <c:invertIfNegative val="0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5-6549-441F-9204-4A4D614EEC05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7-6549-441F-9204-4A4D614EEC05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9-6549-441F-9204-4A4D614EEC0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4: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6549-441F-9204-4A4D614EEC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3A-6549-441F-9204-4A4D614EEC05}"/>
            </c:ext>
          </c:extLst>
        </c:ser>
        <c:ser>
          <c:idx val="17"/>
          <c:order val="5"/>
          <c:tx>
            <c:v>
            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C-6549-441F-9204-4A4D614EEC05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E-6549-441F-9204-4A4D614EEC05}"/>
              </c:ext>
            </c:extLst>
          </c:dPt>
          <c:dPt>
            <c:idx val="2"/>
            <c:invertIfNegative val="0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0-6549-441F-9204-4A4D614EEC05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2-6549-441F-9204-4A4D614EEC05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4-6549-441F-9204-4A4D614EEC05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6-6549-441F-9204-4A4D614EEC0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5: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6549-441F-9204-4A4D614EEC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47-6549-441F-9204-4A4D614EE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8113536"/>
        <c:axId val="88115456"/>
      </c:barChart>
      <c:scatterChart>
        <c:scatterStyle val="lineMarker"/>
        <c:varyColors val="0"/>
        <c:ser>
          <c:idx val="5"/>
          <c:order val="6"/>
          <c:tx>
            <c:v>Before</c:v>
          </c:tx>
          <c:spPr>
            <a:ln w="28575">
              <a:solidFill>
                <a:schemeClr val="tx2"/>
              </a:solidFill>
            </a:ln>
          </c:spPr>
          <c:marker>
            <c:symbol val="diamond"/>
            <c:size val="15"/>
            <c:spPr>
              <a:solidFill>
                <a:schemeClr val="tx2"/>
              </a:solidFill>
              <a:ln>
                <a:solidFill>
                  <a:schemeClr val="tx2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Lbls>
            <c:dLbl>
              <c:idx val="0"/>
              <c:layout>
                <c:manualLayout>
                  <c:x val="-0.23375807331769238"/>
                  <c:y val="3.470800524934383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6549-441F-9204-4A4D614EEC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 algn="l">
                  <a:defRPr sz="825" b="1" i="0" u="none" strike="noStrike" baseline="0">
                    <a:solidFill>
                      <a:sysClr val="windowText" lastClr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'IP (X)'!$N$2</c:f>
              <c:numCache>
                <c:formatCode>[$-1010409]General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'IP (X)'!$N$3</c:f>
              <c:numCache>
                <c:formatCode>[$-1010409]General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6549-441F-9204-4A4D614EEC05}"/>
            </c:ext>
          </c:extLst>
        </c:ser>
        <c:ser>
          <c:idx val="6"/>
          <c:order val="7"/>
          <c:tx>
            <c:v>After</c:v>
          </c:tx>
          <c:spPr>
            <a:ln w="28575">
              <a:noFill/>
            </a:ln>
          </c:spPr>
          <c:marker>
            <c:symbol val="triangle"/>
            <c:size val="15"/>
            <c:spPr>
              <a:solidFill>
                <a:srgbClr val="8064A2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Lbls>
            <c:dLbl>
              <c:idx val="0"/>
              <c:layout>
                <c:manualLayout>
                  <c:x val="-3.9494470774091104E-3"/>
                  <c:y val="9.8423643790088357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825" b="1" i="0" u="none" strike="noStrike" baseline="0">
                      <a:solidFill>
                        <a:sysClr val="windowText" lastClr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6549-441F-9204-4A4D614EEC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1" i="0" u="none" strike="noStrike" baseline="0">
                    <a:solidFill>
                      <a:sysClr val="windowText" lastClr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'IP (X)'!$O$2</c:f>
              <c:numCache>
                <c:formatCode>[$-1010409]General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'IP (X)'!$O$3</c:f>
              <c:numCache>
                <c:formatCode>[$-1010409]General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6549-441F-9204-4A4D614EE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21728"/>
        <c:axId val="88123264"/>
      </c:scatterChart>
      <c:catAx>
        <c:axId val="88113536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Impact</a:t>
                </a:r>
              </a:p>
            </c:rich>
          </c:tx>
          <c:layout>
            <c:manualLayout>
              <c:xMode val="edge"/>
              <c:yMode val="edge"/>
              <c:x val="0.47156383437144983"/>
              <c:y val="0.8846152043494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crossAx val="88115456"/>
        <c:crosses val="autoZero"/>
        <c:auto val="1"/>
        <c:lblAlgn val="ctr"/>
        <c:lblOffset val="100"/>
        <c:noMultiLvlLbl val="0"/>
      </c:catAx>
      <c:valAx>
        <c:axId val="88115456"/>
        <c:scaling>
          <c:orientation val="minMax"/>
          <c:max val="6"/>
          <c:min val="0"/>
        </c:scaling>
        <c:delete val="1"/>
        <c:axPos val="l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Likelihood</a:t>
                </a:r>
              </a:p>
            </c:rich>
          </c:tx>
          <c:layout>
            <c:manualLayout>
              <c:xMode val="edge"/>
              <c:yMode val="edge"/>
              <c:x val="3.7914756924041212E-2"/>
              <c:y val="0.3520711473565804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8113536"/>
        <c:crosses val="autoZero"/>
        <c:crossBetween val="between"/>
        <c:majorUnit val="1"/>
      </c:valAx>
      <c:valAx>
        <c:axId val="88121728"/>
        <c:scaling>
          <c:orientation val="minMax"/>
        </c:scaling>
        <c:delete val="1"/>
        <c:axPos val="b"/>
        <c:numFmt formatCode="[$-1010409]General" sourceLinked="1"/>
        <c:majorTickMark val="out"/>
        <c:minorTickMark val="none"/>
        <c:tickLblPos val="nextTo"/>
        <c:crossAx val="88123264"/>
        <c:crosses val="autoZero"/>
        <c:crossBetween val="midCat"/>
      </c:valAx>
      <c:valAx>
        <c:axId val="88123264"/>
        <c:scaling>
          <c:orientation val="minMax"/>
          <c:max val="5"/>
        </c:scaling>
        <c:delete val="1"/>
        <c:axPos val="r"/>
        <c:numFmt formatCode="[$-1010409]General" sourceLinked="1"/>
        <c:majorTickMark val="out"/>
        <c:minorTickMark val="none"/>
        <c:tickLblPos val="nextTo"/>
        <c:crossAx val="8812172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786729857819899E-2"/>
          <c:y val="4.4378698224852069E-2"/>
          <c:w val="0.87203791469194314"/>
          <c:h val="0.84023668639053251"/>
        </c:manualLayout>
      </c:layout>
      <c:barChart>
        <c:barDir val="col"/>
        <c:grouping val="stacked"/>
        <c:varyColors val="0"/>
        <c:ser>
          <c:idx val="0"/>
          <c:order val="0"/>
          <c:tx>
            <c:v>
            </c:v>
          </c:tx>
          <c:spPr>
            <a:solidFill>
              <a:srgbClr val="C0C0C0"/>
            </a:solidFill>
            <a:ln w="3175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470-47ED-9700-769D5CCE1A66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470-47ED-9700-769D5CCE1A6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470-47ED-9700-769D5CCE1A66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470-47ED-9700-769D5CCE1A66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9470-47ED-9700-769D5CCE1A6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9470-47ED-9700-769D5CCE1A66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1: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470-47ED-9700-769D5CCE1A6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2: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70-47ED-9700-769D5CCE1A6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3: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70-47ED-9700-769D5CCE1A6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4: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70-47ED-9700-769D5CCE1A6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5: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470-47ED-9700-769D5CCE1A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6-9470-47ED-9700-769D5CCE1A66}"/>
            </c:ext>
          </c:extLst>
        </c:ser>
        <c:ser>
          <c:idx val="1"/>
          <c:order val="1"/>
          <c:tx>
            <c:v>
            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9470-47ED-9700-769D5CCE1A66}"/>
              </c:ext>
            </c:extLst>
          </c:dPt>
          <c:dPt>
            <c:idx val="1"/>
            <c:invertIfNegative val="0"/>
            <c:bubble3D val="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9470-47ED-9700-769D5CCE1A66}"/>
              </c:ext>
            </c:extLst>
          </c:dPt>
          <c:dPt>
            <c:idx val="2"/>
            <c:invertIfNegative val="0"/>
            <c:bubble3D val="0"/>
            <c:spPr>
              <a:solidFill>
                <a:srgbClr val="33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470-47ED-9700-769D5CCE1A66}"/>
              </c:ext>
            </c:extLst>
          </c:dPt>
          <c:dPt>
            <c:idx val="3"/>
            <c:invertIfNegative val="0"/>
            <c:bubble3D val="0"/>
            <c:spPr>
              <a:solidFill>
                <a:srgbClr val="00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E-9470-47ED-9700-769D5CCE1A66}"/>
              </c:ext>
            </c:extLst>
          </c:dPt>
          <c:dPt>
            <c:idx val="4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9470-47ED-9700-769D5CCE1A66}"/>
              </c:ext>
            </c:extLst>
          </c:dPt>
          <c:dPt>
            <c:idx val="5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9470-47ED-9700-769D5CCE1A6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1: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70-47ED-9700-769D5CCE1A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3-9470-47ED-9700-769D5CCE1A66}"/>
            </c:ext>
          </c:extLst>
        </c:ser>
        <c:ser>
          <c:idx val="2"/>
          <c:order val="2"/>
          <c:tx>
            <c:v>
            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5-9470-47ED-9700-769D5CCE1A66}"/>
              </c:ext>
            </c:extLst>
          </c:dPt>
          <c:dPt>
            <c:idx val="1"/>
            <c:invertIfNegative val="0"/>
            <c:bubble3D val="0"/>
            <c:spPr>
              <a:solidFill>
                <a:srgbClr val="33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7-9470-47ED-9700-769D5CCE1A66}"/>
              </c:ext>
            </c:extLst>
          </c:dPt>
          <c:dPt>
            <c:idx val="2"/>
            <c:invertIfNegative val="0"/>
            <c:bubble3D val="0"/>
            <c:spPr>
              <a:solidFill>
                <a:srgbClr val="00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9-9470-47ED-9700-769D5CCE1A66}"/>
              </c:ext>
            </c:extLst>
          </c:dPt>
          <c:dPt>
            <c:idx val="3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B-9470-47ED-9700-769D5CCE1A6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D-9470-47ED-9700-769D5CCE1A66}"/>
              </c:ext>
            </c:extLst>
          </c:dPt>
          <c:dPt>
            <c:idx val="5"/>
            <c:invertIfNegative val="0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F-9470-47ED-9700-769D5CCE1A6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2: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9470-47ED-9700-769D5CCE1A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0-9470-47ED-9700-769D5CCE1A66}"/>
            </c:ext>
          </c:extLst>
        </c:ser>
        <c:ser>
          <c:idx val="3"/>
          <c:order val="3"/>
          <c:tx>
            <c:v>
            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2-9470-47ED-9700-769D5CCE1A66}"/>
              </c:ext>
            </c:extLst>
          </c:dPt>
          <c:dPt>
            <c:idx val="1"/>
            <c:invertIfNegative val="0"/>
            <c:bubble3D val="0"/>
            <c:spPr>
              <a:solidFill>
                <a:srgbClr val="00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4-9470-47ED-9700-769D5CCE1A66}"/>
              </c:ext>
            </c:extLst>
          </c:dPt>
          <c:dPt>
            <c:idx val="2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6-9470-47ED-9700-769D5CCE1A66}"/>
              </c:ext>
            </c:extLst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8-9470-47ED-9700-769D5CCE1A66}"/>
              </c:ext>
            </c:extLst>
          </c:dPt>
          <c:dPt>
            <c:idx val="4"/>
            <c:invertIfNegative val="0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A-9470-47ED-9700-769D5CCE1A66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C-9470-47ED-9700-769D5CCE1A6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3: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9470-47ED-9700-769D5CCE1A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D-9470-47ED-9700-769D5CCE1A66}"/>
            </c:ext>
          </c:extLst>
        </c:ser>
        <c:ser>
          <c:idx val="4"/>
          <c:order val="4"/>
          <c:tx>
            <c:v>
            </c:v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F-9470-47ED-9700-769D5CCE1A66}"/>
              </c:ext>
            </c:extLst>
          </c:dPt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1-9470-47ED-9700-769D5CCE1A66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3-9470-47ED-9700-769D5CCE1A66}"/>
              </c:ext>
            </c:extLst>
          </c:dPt>
          <c:dPt>
            <c:idx val="3"/>
            <c:invertIfNegative val="0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5-9470-47ED-9700-769D5CCE1A66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7-9470-47ED-9700-769D5CCE1A66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9-9470-47ED-9700-769D5CCE1A6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4: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9470-47ED-9700-769D5CCE1A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3A-9470-47ED-9700-769D5CCE1A66}"/>
            </c:ext>
          </c:extLst>
        </c:ser>
        <c:ser>
          <c:idx val="17"/>
          <c:order val="5"/>
          <c:tx>
            <c:v>
            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C-9470-47ED-9700-769D5CCE1A66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E-9470-47ED-9700-769D5CCE1A66}"/>
              </c:ext>
            </c:extLst>
          </c:dPt>
          <c:dPt>
            <c:idx val="2"/>
            <c:invertIfNegative val="0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0-9470-47ED-9700-769D5CCE1A66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2-9470-47ED-9700-769D5CCE1A66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4-9470-47ED-9700-769D5CCE1A66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6-9470-47ED-9700-769D5CCE1A6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5: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9470-47ED-9700-769D5CCE1A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47-9470-47ED-9700-769D5CCE1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8350080"/>
        <c:axId val="88368640"/>
      </c:barChart>
      <c:scatterChart>
        <c:scatterStyle val="lineMarker"/>
        <c:varyColors val="0"/>
        <c:ser>
          <c:idx val="5"/>
          <c:order val="6"/>
          <c:tx>
            <c:v>Before</c:v>
          </c:tx>
          <c:spPr>
            <a:ln w="28575">
              <a:solidFill>
                <a:schemeClr val="tx2"/>
              </a:solidFill>
            </a:ln>
          </c:spPr>
          <c:marker>
            <c:symbol val="diamond"/>
            <c:size val="15"/>
            <c:spPr>
              <a:solidFill>
                <a:schemeClr val="tx2"/>
              </a:solidFill>
              <a:ln>
                <a:solidFill>
                  <a:schemeClr val="tx2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Lbls>
            <c:dLbl>
              <c:idx val="0"/>
              <c:layout>
                <c:manualLayout>
                  <c:x val="-0.23375807331769238"/>
                  <c:y val="3.470800524934383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9470-47ED-9700-769D5CCE1A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 algn="l">
                  <a:defRPr sz="825" b="1" i="0" u="none" strike="noStrike" baseline="0">
                    <a:solidFill>
                      <a:sysClr val="windowText" lastClr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#REF!</c:f>
              <c:numCache>
                <c:formatCode>[$-1010409]General</c:formatCode>
                <c:ptCount val="1"/>
                <c:pt idx="0">
                  <c:v>0</c:v>
                </c:pt>
              </c:numCache>
            </c:numRef>
          </c:xVal>
          <c:yVal>
            <c:numRef>
              <c:f>#REF!</c:f>
              <c:numCache>
                <c:formatCode>[$-1010409]General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9470-47ED-9700-769D5CCE1A66}"/>
            </c:ext>
          </c:extLst>
        </c:ser>
        <c:ser>
          <c:idx val="6"/>
          <c:order val="7"/>
          <c:tx>
            <c:v>After</c:v>
          </c:tx>
          <c:spPr>
            <a:ln w="28575">
              <a:noFill/>
            </a:ln>
          </c:spPr>
          <c:marker>
            <c:symbol val="triangle"/>
            <c:size val="15"/>
            <c:spPr>
              <a:solidFill>
                <a:srgbClr val="8064A2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Lbls>
            <c:dLbl>
              <c:idx val="0"/>
              <c:layout>
                <c:manualLayout>
                  <c:x val="-3.9494470774091104E-3"/>
                  <c:y val="9.8423643790088357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825" b="1" i="0" u="none" strike="noStrike" baseline="0">
                      <a:solidFill>
                        <a:sysClr val="windowText" lastClr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9470-47ED-9700-769D5CCE1A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1" i="0" u="none" strike="noStrike" baseline="0">
                    <a:solidFill>
                      <a:sysClr val="windowText" lastClr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#REF!</c:f>
              <c:numCache>
                <c:formatCode>[$-1010409]General</c:formatCode>
                <c:ptCount val="1"/>
                <c:pt idx="0">
                  <c:v>4</c:v>
                </c:pt>
              </c:numCache>
            </c:numRef>
          </c:xVal>
          <c:yVal>
            <c:numRef>
              <c:f>#REF!</c:f>
              <c:numCache>
                <c:formatCode>[$-1010409]General</c:formatCode>
                <c:ptCount val="1"/>
                <c:pt idx="0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9470-47ED-9700-769D5CCE1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370560"/>
        <c:axId val="88380544"/>
      </c:scatterChart>
      <c:catAx>
        <c:axId val="8835008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Impact</a:t>
                </a:r>
              </a:p>
            </c:rich>
          </c:tx>
          <c:layout>
            <c:manualLayout>
              <c:xMode val="edge"/>
              <c:yMode val="edge"/>
              <c:x val="0.47156383437144983"/>
              <c:y val="0.8846152043494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crossAx val="88368640"/>
        <c:crosses val="autoZero"/>
        <c:auto val="1"/>
        <c:lblAlgn val="ctr"/>
        <c:lblOffset val="100"/>
        <c:noMultiLvlLbl val="0"/>
      </c:catAx>
      <c:valAx>
        <c:axId val="88368640"/>
        <c:scaling>
          <c:orientation val="minMax"/>
          <c:max val="6"/>
          <c:min val="0"/>
        </c:scaling>
        <c:delete val="1"/>
        <c:axPos val="l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Likelihood</a:t>
                </a:r>
              </a:p>
            </c:rich>
          </c:tx>
          <c:layout>
            <c:manualLayout>
              <c:xMode val="edge"/>
              <c:yMode val="edge"/>
              <c:x val="3.7914756924041212E-2"/>
              <c:y val="0.3520711473565804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8350080"/>
        <c:crosses val="autoZero"/>
        <c:crossBetween val="between"/>
        <c:majorUnit val="1"/>
      </c:valAx>
      <c:valAx>
        <c:axId val="88370560"/>
        <c:scaling>
          <c:orientation val="minMax"/>
        </c:scaling>
        <c:delete val="1"/>
        <c:axPos val="b"/>
        <c:numFmt formatCode="[$-1010409]General" sourceLinked="1"/>
        <c:majorTickMark val="out"/>
        <c:minorTickMark val="none"/>
        <c:tickLblPos val="nextTo"/>
        <c:crossAx val="88380544"/>
        <c:crosses val="autoZero"/>
        <c:crossBetween val="midCat"/>
      </c:valAx>
      <c:valAx>
        <c:axId val="88380544"/>
        <c:scaling>
          <c:orientation val="minMax"/>
          <c:max val="5"/>
        </c:scaling>
        <c:delete val="1"/>
        <c:axPos val="r"/>
        <c:numFmt formatCode="[$-1010409]General" sourceLinked="1"/>
        <c:majorTickMark val="out"/>
        <c:minorTickMark val="none"/>
        <c:tickLblPos val="nextTo"/>
        <c:crossAx val="88370560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659633967875911E-2"/>
          <c:y val="4.4378698224852069E-2"/>
          <c:w val="0.91116498699513582"/>
          <c:h val="0.8897861247073845"/>
        </c:manualLayout>
      </c:layout>
      <c:barChart>
        <c:barDir val="col"/>
        <c:grouping val="stacked"/>
        <c:varyColors val="0"/>
        <c:ser>
          <c:idx val="0"/>
          <c:order val="0"/>
          <c:tx>
            <c:v>
            </c:v>
          </c:tx>
          <c:spPr>
            <a:solidFill>
              <a:srgbClr val="C0C0C0"/>
            </a:solidFill>
            <a:ln w="3175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DEE-4BDA-A4EE-86079EFAEF3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DEE-4BDA-A4EE-86079EFAEF3C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DEE-4BDA-A4EE-86079EFAEF3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DEE-4BDA-A4EE-86079EFAEF3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3DEE-4BDA-A4EE-86079EFAEF3C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DEE-4BDA-A4EE-86079EFAEF3C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DEE-4BDA-A4EE-86079EFAEF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separator>
             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DEE-4BDA-A4EE-86079EFAEF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separator>
             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DEE-4BDA-A4EE-86079EFAEF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separator>
             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DEE-4BDA-A4EE-86079EFAEF3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separator>
             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DEE-4BDA-A4EE-86079EFAE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           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6-3DEE-4BDA-A4EE-86079EFAEF3C}"/>
            </c:ext>
          </c:extLst>
        </c:ser>
        <c:ser>
          <c:idx val="1"/>
          <c:order val="1"/>
          <c:tx>
            <c:v>
            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3DEE-4BDA-A4EE-86079EFAEF3C}"/>
              </c:ext>
            </c:extLst>
          </c:dPt>
          <c:dPt>
            <c:idx val="1"/>
            <c:invertIfNegative val="0"/>
            <c:bubble3D val="0"/>
            <c:spPr>
              <a:solidFill>
                <a:srgbClr val="00986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3DEE-4BDA-A4EE-86079EFAEF3C}"/>
              </c:ext>
            </c:extLst>
          </c:dPt>
          <c:dPt>
            <c:idx val="2"/>
            <c:invertIfNegative val="0"/>
            <c:bubble3D val="0"/>
            <c:spPr>
              <a:solidFill>
                <a:srgbClr val="00986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3DEE-4BDA-A4EE-86079EFAEF3C}"/>
              </c:ext>
            </c:extLst>
          </c:dPt>
          <c:dPt>
            <c:idx val="3"/>
            <c:invertIfNegative val="0"/>
            <c:bubble3D val="0"/>
            <c:spPr>
              <a:solidFill>
                <a:srgbClr val="00C38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E-3DEE-4BDA-A4EE-86079EFAEF3C}"/>
              </c:ext>
            </c:extLst>
          </c:dPt>
          <c:dPt>
            <c:idx val="4"/>
            <c:invertIfNegative val="0"/>
            <c:bubble3D val="0"/>
            <c:spPr>
              <a:solidFill>
                <a:srgbClr val="FFB81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3DEE-4BDA-A4EE-86079EFAEF3C}"/>
              </c:ext>
            </c:extLst>
          </c:dPt>
          <c:dPt>
            <c:idx val="5"/>
            <c:invertIfNegative val="0"/>
            <c:bubble3D val="0"/>
            <c:spPr>
              <a:solidFill>
                <a:srgbClr val="FF85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3DEE-4BDA-A4EE-86079EFAEF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DEE-4BDA-A4EE-86079EFAE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3-3DEE-4BDA-A4EE-86079EFAEF3C}"/>
            </c:ext>
          </c:extLst>
        </c:ser>
        <c:ser>
          <c:idx val="2"/>
          <c:order val="2"/>
          <c:tx>
            <c:v>
            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5-3DEE-4BDA-A4EE-86079EFAEF3C}"/>
              </c:ext>
            </c:extLst>
          </c:dPt>
          <c:dPt>
            <c:idx val="1"/>
            <c:invertIfNegative val="0"/>
            <c:bubble3D val="0"/>
            <c:spPr>
              <a:solidFill>
                <a:srgbClr val="00986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7-3DEE-4BDA-A4EE-86079EFAEF3C}"/>
              </c:ext>
            </c:extLst>
          </c:dPt>
          <c:dPt>
            <c:idx val="2"/>
            <c:invertIfNegative val="0"/>
            <c:bubble3D val="0"/>
            <c:spPr>
              <a:solidFill>
                <a:srgbClr val="00C38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9-3DEE-4BDA-A4EE-86079EFAEF3C}"/>
              </c:ext>
            </c:extLst>
          </c:dPt>
          <c:dPt>
            <c:idx val="3"/>
            <c:invertIfNegative val="0"/>
            <c:bubble3D val="0"/>
            <c:spPr>
              <a:solidFill>
                <a:srgbClr val="889E0A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B-3DEE-4BDA-A4EE-86079EFAEF3C}"/>
              </c:ext>
            </c:extLst>
          </c:dPt>
          <c:dPt>
            <c:idx val="4"/>
            <c:invertIfNegative val="0"/>
            <c:bubble3D val="0"/>
            <c:spPr>
              <a:solidFill>
                <a:srgbClr val="FFB81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D-3DEE-4BDA-A4EE-86079EFAEF3C}"/>
              </c:ext>
            </c:extLst>
          </c:dPt>
          <c:dPt>
            <c:idx val="5"/>
            <c:invertIfNegative val="0"/>
            <c:bubble3D val="0"/>
            <c:spPr>
              <a:solidFill>
                <a:srgbClr val="A31E2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F-3DEE-4BDA-A4EE-86079EFAEF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DEE-4BDA-A4EE-86079EFAE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0-3DEE-4BDA-A4EE-86079EFAEF3C}"/>
            </c:ext>
          </c:extLst>
        </c:ser>
        <c:ser>
          <c:idx val="3"/>
          <c:order val="3"/>
          <c:tx>
            <c:v>
            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2-3DEE-4BDA-A4EE-86079EFAEF3C}"/>
              </c:ext>
            </c:extLst>
          </c:dPt>
          <c:dPt>
            <c:idx val="1"/>
            <c:invertIfNegative val="0"/>
            <c:bubble3D val="0"/>
            <c:spPr>
              <a:solidFill>
                <a:srgbClr val="00C38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4-3DEE-4BDA-A4EE-86079EFAEF3C}"/>
              </c:ext>
            </c:extLst>
          </c:dPt>
          <c:dPt>
            <c:idx val="2"/>
            <c:invertIfNegative val="0"/>
            <c:bubble3D val="0"/>
            <c:spPr>
              <a:solidFill>
                <a:srgbClr val="889E0A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6-3DEE-4BDA-A4EE-86079EFAEF3C}"/>
              </c:ext>
            </c:extLst>
          </c:dPt>
          <c:dPt>
            <c:idx val="3"/>
            <c:invertIfNegative val="0"/>
            <c:bubble3D val="0"/>
            <c:spPr>
              <a:solidFill>
                <a:srgbClr val="FFB81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8-3DEE-4BDA-A4EE-86079EFAEF3C}"/>
              </c:ext>
            </c:extLst>
          </c:dPt>
          <c:dPt>
            <c:idx val="4"/>
            <c:invertIfNegative val="0"/>
            <c:bubble3D val="0"/>
            <c:spPr>
              <a:solidFill>
                <a:srgbClr val="FF85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A-3DEE-4BDA-A4EE-86079EFAEF3C}"/>
              </c:ext>
            </c:extLst>
          </c:dPt>
          <c:dPt>
            <c:idx val="5"/>
            <c:invertIfNegative val="0"/>
            <c:bubble3D val="0"/>
            <c:spPr>
              <a:solidFill>
                <a:srgbClr val="A31E2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C-3DEE-4BDA-A4EE-86079EFAEF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3DEE-4BDA-A4EE-86079EFAE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D-3DEE-4BDA-A4EE-86079EFAEF3C}"/>
            </c:ext>
          </c:extLst>
        </c:ser>
        <c:ser>
          <c:idx val="4"/>
          <c:order val="4"/>
          <c:tx>
            <c:v>
            </c:v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F-3DEE-4BDA-A4EE-86079EFAEF3C}"/>
              </c:ext>
            </c:extLst>
          </c:dPt>
          <c:dPt>
            <c:idx val="1"/>
            <c:invertIfNegative val="0"/>
            <c:bubble3D val="0"/>
            <c:spPr>
              <a:solidFill>
                <a:srgbClr val="889E0A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1-3DEE-4BDA-A4EE-86079EFAEF3C}"/>
              </c:ext>
            </c:extLst>
          </c:dPt>
          <c:dPt>
            <c:idx val="2"/>
            <c:invertIfNegative val="0"/>
            <c:bubble3D val="0"/>
            <c:spPr>
              <a:solidFill>
                <a:srgbClr val="FFB81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3-3DEE-4BDA-A4EE-86079EFAEF3C}"/>
              </c:ext>
            </c:extLst>
          </c:dPt>
          <c:dPt>
            <c:idx val="3"/>
            <c:invertIfNegative val="0"/>
            <c:bubble3D val="0"/>
            <c:spPr>
              <a:solidFill>
                <a:srgbClr val="FF85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5-3DEE-4BDA-A4EE-86079EFAEF3C}"/>
              </c:ext>
            </c:extLst>
          </c:dPt>
          <c:dPt>
            <c:idx val="4"/>
            <c:invertIfNegative val="0"/>
            <c:bubble3D val="0"/>
            <c:spPr>
              <a:solidFill>
                <a:srgbClr val="A31E2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7-3DEE-4BDA-A4EE-86079EFAEF3C}"/>
              </c:ext>
            </c:extLst>
          </c:dPt>
          <c:dPt>
            <c:idx val="5"/>
            <c:invertIfNegative val="0"/>
            <c:bubble3D val="0"/>
            <c:spPr>
              <a:solidFill>
                <a:srgbClr val="A31E2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9-3DEE-4BDA-A4EE-86079EFAEF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3DEE-4BDA-A4EE-86079EFAE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3A-3DEE-4BDA-A4EE-86079EFAEF3C}"/>
            </c:ext>
          </c:extLst>
        </c:ser>
        <c:ser>
          <c:idx val="17"/>
          <c:order val="5"/>
          <c:tx>
            <c:v>
            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C-3DEE-4BDA-A4EE-86079EFAEF3C}"/>
              </c:ext>
            </c:extLst>
          </c:dPt>
          <c:dPt>
            <c:idx val="1"/>
            <c:invertIfNegative val="0"/>
            <c:bubble3D val="0"/>
            <c:spPr>
              <a:solidFill>
                <a:srgbClr val="FFB81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E-3DEE-4BDA-A4EE-86079EFAEF3C}"/>
              </c:ext>
            </c:extLst>
          </c:dPt>
          <c:dPt>
            <c:idx val="2"/>
            <c:invertIfNegative val="0"/>
            <c:bubble3D val="0"/>
            <c:spPr>
              <a:solidFill>
                <a:srgbClr val="FF85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0-3DEE-4BDA-A4EE-86079EFAEF3C}"/>
              </c:ext>
            </c:extLst>
          </c:dPt>
          <c:dPt>
            <c:idx val="3"/>
            <c:invertIfNegative val="0"/>
            <c:bubble3D val="0"/>
            <c:spPr>
              <a:solidFill>
                <a:srgbClr val="A31E2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2-3DEE-4BDA-A4EE-86079EFAEF3C}"/>
              </c:ext>
            </c:extLst>
          </c:dPt>
          <c:dPt>
            <c:idx val="4"/>
            <c:invertIfNegative val="0"/>
            <c:bubble3D val="0"/>
            <c:spPr>
              <a:solidFill>
                <a:srgbClr val="A31E2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4-3DEE-4BDA-A4EE-86079EFAEF3C}"/>
              </c:ext>
            </c:extLst>
          </c:dPt>
          <c:dPt>
            <c:idx val="5"/>
            <c:invertIfNegative val="0"/>
            <c:bubble3D val="0"/>
            <c:spPr>
              <a:solidFill>
                <a:srgbClr val="A31E2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6-3DEE-4BDA-A4EE-86079EFAEF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3DEE-4BDA-A4EE-86079EFAE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47-3DEE-4BDA-A4EE-86079EFAE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8457984"/>
        <c:axId val="88459904"/>
      </c:barChart>
      <c:scatterChart>
        <c:scatterStyle val="lineMarker"/>
        <c:varyColors val="0"/>
        <c:ser>
          <c:idx val="5"/>
          <c:order val="6"/>
          <c:tx>
            <c:v>Before</c:v>
          </c:tx>
          <c:spPr>
            <a:ln w="28575">
              <a:solidFill>
                <a:schemeClr val="tx2"/>
              </a:solidFill>
            </a:ln>
          </c:spPr>
          <c:marker>
            <c:symbol val="diamond"/>
            <c:size val="15"/>
            <c:spPr>
              <a:solidFill>
                <a:schemeClr val="tx2"/>
              </a:solidFill>
              <a:ln>
                <a:solidFill>
                  <a:schemeClr val="tx2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Lbls>
            <c:dLbl>
              <c:idx val="0"/>
              <c:layout>
                <c:manualLayout>
                  <c:x val="-8.1677894100709192E-2"/>
                  <c:y val="6.623962545222388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3DEE-4BDA-A4EE-86079EFAE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 algn="l">
                  <a:defRPr sz="825" b="1" i="0" u="none" strike="noStrike" baseline="0">
                    <a:solidFill>
                      <a:sysClr val="windowText" lastClr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'IP (1) Risk 3'!N2</c:f>
              <c:numCache>
                <c:formatCode>[$-1010409]General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'IP (1) Risk 3'!N3</c:f>
              <c:numCache>
                <c:formatCode>[$-1010409]General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3DEE-4BDA-A4EE-86079EFAEF3C}"/>
            </c:ext>
          </c:extLst>
        </c:ser>
        <c:ser>
          <c:idx val="6"/>
          <c:order val="7"/>
          <c:tx>
            <c:v>After</c:v>
          </c:tx>
          <c:spPr>
            <a:ln w="28575">
              <a:noFill/>
            </a:ln>
          </c:spPr>
          <c:marker>
            <c:symbol val="triangle"/>
            <c:size val="15"/>
            <c:spPr>
              <a:solidFill>
                <a:srgbClr val="8064A2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Lbls>
            <c:dLbl>
              <c:idx val="0"/>
              <c:layout>
                <c:manualLayout>
                  <c:x val="-3.9494470774091104E-3"/>
                  <c:y val="9.8423643790088357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825" b="1" i="0" u="none" strike="noStrike" baseline="0">
                      <a:solidFill>
                        <a:sysClr val="windowText" lastClr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3DEE-4BDA-A4EE-86079EFAE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1" i="0" u="none" strike="noStrike" baseline="0">
                    <a:solidFill>
                      <a:sysClr val="windowText" lastClr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'IP (1) Risk 3'!O2</c:f>
              <c:numCache>
                <c:formatCode>[$-1010409]General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'IP (1) Risk 3'!O3</c:f>
              <c:numCache>
                <c:formatCode>[$-1010409]General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3DEE-4BDA-A4EE-86079EFAE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78464"/>
        <c:axId val="88480000"/>
      </c:scatterChart>
      <c:catAx>
        <c:axId val="88457984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Impact</a:t>
                </a:r>
              </a:p>
            </c:rich>
          </c:tx>
          <c:layout>
            <c:manualLayout>
              <c:xMode val="edge"/>
              <c:yMode val="edge"/>
              <c:x val="0.45350538857586364"/>
              <c:y val="0.9341643612116052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crossAx val="88459904"/>
        <c:crosses val="autoZero"/>
        <c:auto val="1"/>
        <c:lblAlgn val="ctr"/>
        <c:lblOffset val="100"/>
        <c:noMultiLvlLbl val="0"/>
      </c:catAx>
      <c:valAx>
        <c:axId val="88459904"/>
        <c:scaling>
          <c:orientation val="minMax"/>
          <c:max val="6"/>
          <c:min val="0"/>
        </c:scaling>
        <c:delete val="1"/>
        <c:axPos val="l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Likelihood</a:t>
                </a:r>
              </a:p>
            </c:rich>
          </c:tx>
          <c:layout>
            <c:manualLayout>
              <c:xMode val="edge"/>
              <c:yMode val="edge"/>
              <c:x val="4.8073561910855966E-3"/>
              <c:y val="0.392611548556430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8457984"/>
        <c:crosses val="autoZero"/>
        <c:crossBetween val="between"/>
        <c:majorUnit val="1"/>
      </c:valAx>
      <c:valAx>
        <c:axId val="88478464"/>
        <c:scaling>
          <c:orientation val="minMax"/>
        </c:scaling>
        <c:delete val="1"/>
        <c:axPos val="b"/>
        <c:numFmt formatCode="[$-1010409]General" sourceLinked="1"/>
        <c:majorTickMark val="out"/>
        <c:minorTickMark val="none"/>
        <c:tickLblPos val="nextTo"/>
        <c:crossAx val="88480000"/>
        <c:crosses val="autoZero"/>
        <c:crossBetween val="midCat"/>
      </c:valAx>
      <c:valAx>
        <c:axId val="88480000"/>
        <c:scaling>
          <c:orientation val="minMax"/>
          <c:max val="5"/>
        </c:scaling>
        <c:delete val="1"/>
        <c:axPos val="r"/>
        <c:numFmt formatCode="[$-1010409]General" sourceLinked="1"/>
        <c:majorTickMark val="out"/>
        <c:minorTickMark val="none"/>
        <c:tickLblPos val="nextTo"/>
        <c:crossAx val="88478464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659633967875911E-2"/>
          <c:y val="4.4378698224852069E-2"/>
          <c:w val="0.91116498699513582"/>
          <c:h val="0.8897861247073845"/>
        </c:manualLayout>
      </c:layout>
      <c:barChart>
        <c:barDir val="col"/>
        <c:grouping val="stacked"/>
        <c:varyColors val="0"/>
        <c:ser>
          <c:idx val="0"/>
          <c:order val="0"/>
          <c:tx>
            <c:v>
            </c:v>
          </c:tx>
          <c:spPr>
            <a:solidFill>
              <a:srgbClr val="C0C0C0"/>
            </a:solidFill>
            <a:ln w="3175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DEE-4BDA-A4EE-86079EFAEF3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DEE-4BDA-A4EE-86079EFAEF3C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DEE-4BDA-A4EE-86079EFAEF3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DEE-4BDA-A4EE-86079EFAEF3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3DEE-4BDA-A4EE-86079EFAEF3C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DEE-4BDA-A4EE-86079EFAEF3C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DEE-4BDA-A4EE-86079EFAEF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separator>
             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DEE-4BDA-A4EE-86079EFAEF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separator>
             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DEE-4BDA-A4EE-86079EFAEF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separator>
             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DEE-4BDA-A4EE-86079EFAEF3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separator>
             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DEE-4BDA-A4EE-86079EFAE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           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6-3DEE-4BDA-A4EE-86079EFAEF3C}"/>
            </c:ext>
          </c:extLst>
        </c:ser>
        <c:ser>
          <c:idx val="1"/>
          <c:order val="1"/>
          <c:tx>
            <c:v>
            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3DEE-4BDA-A4EE-86079EFAEF3C}"/>
              </c:ext>
            </c:extLst>
          </c:dPt>
          <c:dPt>
            <c:idx val="1"/>
            <c:invertIfNegative val="0"/>
            <c:bubble3D val="0"/>
            <c:spPr>
              <a:solidFill>
                <a:srgbClr val="00986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3DEE-4BDA-A4EE-86079EFAEF3C}"/>
              </c:ext>
            </c:extLst>
          </c:dPt>
          <c:dPt>
            <c:idx val="2"/>
            <c:invertIfNegative val="0"/>
            <c:bubble3D val="0"/>
            <c:spPr>
              <a:solidFill>
                <a:srgbClr val="00986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3DEE-4BDA-A4EE-86079EFAEF3C}"/>
              </c:ext>
            </c:extLst>
          </c:dPt>
          <c:dPt>
            <c:idx val="3"/>
            <c:invertIfNegative val="0"/>
            <c:bubble3D val="0"/>
            <c:spPr>
              <a:solidFill>
                <a:srgbClr val="00C38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E-3DEE-4BDA-A4EE-86079EFAEF3C}"/>
              </c:ext>
            </c:extLst>
          </c:dPt>
          <c:dPt>
            <c:idx val="4"/>
            <c:invertIfNegative val="0"/>
            <c:bubble3D val="0"/>
            <c:spPr>
              <a:solidFill>
                <a:srgbClr val="FFB81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3DEE-4BDA-A4EE-86079EFAEF3C}"/>
              </c:ext>
            </c:extLst>
          </c:dPt>
          <c:dPt>
            <c:idx val="5"/>
            <c:invertIfNegative val="0"/>
            <c:bubble3D val="0"/>
            <c:spPr>
              <a:solidFill>
                <a:srgbClr val="FF85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3DEE-4BDA-A4EE-86079EFAEF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DEE-4BDA-A4EE-86079EFAE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3-3DEE-4BDA-A4EE-86079EFAEF3C}"/>
            </c:ext>
          </c:extLst>
        </c:ser>
        <c:ser>
          <c:idx val="2"/>
          <c:order val="2"/>
          <c:tx>
            <c:v>
            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5-3DEE-4BDA-A4EE-86079EFAEF3C}"/>
              </c:ext>
            </c:extLst>
          </c:dPt>
          <c:dPt>
            <c:idx val="1"/>
            <c:invertIfNegative val="0"/>
            <c:bubble3D val="0"/>
            <c:spPr>
              <a:solidFill>
                <a:srgbClr val="00986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7-3DEE-4BDA-A4EE-86079EFAEF3C}"/>
              </c:ext>
            </c:extLst>
          </c:dPt>
          <c:dPt>
            <c:idx val="2"/>
            <c:invertIfNegative val="0"/>
            <c:bubble3D val="0"/>
            <c:spPr>
              <a:solidFill>
                <a:srgbClr val="00C38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9-3DEE-4BDA-A4EE-86079EFAEF3C}"/>
              </c:ext>
            </c:extLst>
          </c:dPt>
          <c:dPt>
            <c:idx val="3"/>
            <c:invertIfNegative val="0"/>
            <c:bubble3D val="0"/>
            <c:spPr>
              <a:solidFill>
                <a:srgbClr val="889E0A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B-3DEE-4BDA-A4EE-86079EFAEF3C}"/>
              </c:ext>
            </c:extLst>
          </c:dPt>
          <c:dPt>
            <c:idx val="4"/>
            <c:invertIfNegative val="0"/>
            <c:bubble3D val="0"/>
            <c:spPr>
              <a:solidFill>
                <a:srgbClr val="FFB81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D-3DEE-4BDA-A4EE-86079EFAEF3C}"/>
              </c:ext>
            </c:extLst>
          </c:dPt>
          <c:dPt>
            <c:idx val="5"/>
            <c:invertIfNegative val="0"/>
            <c:bubble3D val="0"/>
            <c:spPr>
              <a:solidFill>
                <a:srgbClr val="A31E2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F-3DEE-4BDA-A4EE-86079EFAEF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DEE-4BDA-A4EE-86079EFAE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0-3DEE-4BDA-A4EE-86079EFAEF3C}"/>
            </c:ext>
          </c:extLst>
        </c:ser>
        <c:ser>
          <c:idx val="3"/>
          <c:order val="3"/>
          <c:tx>
            <c:v>
            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2-3DEE-4BDA-A4EE-86079EFAEF3C}"/>
              </c:ext>
            </c:extLst>
          </c:dPt>
          <c:dPt>
            <c:idx val="1"/>
            <c:invertIfNegative val="0"/>
            <c:bubble3D val="0"/>
            <c:spPr>
              <a:solidFill>
                <a:srgbClr val="00C38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4-3DEE-4BDA-A4EE-86079EFAEF3C}"/>
              </c:ext>
            </c:extLst>
          </c:dPt>
          <c:dPt>
            <c:idx val="2"/>
            <c:invertIfNegative val="0"/>
            <c:bubble3D val="0"/>
            <c:spPr>
              <a:solidFill>
                <a:srgbClr val="889E0A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6-3DEE-4BDA-A4EE-86079EFAEF3C}"/>
              </c:ext>
            </c:extLst>
          </c:dPt>
          <c:dPt>
            <c:idx val="3"/>
            <c:invertIfNegative val="0"/>
            <c:bubble3D val="0"/>
            <c:spPr>
              <a:solidFill>
                <a:srgbClr val="FFB81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8-3DEE-4BDA-A4EE-86079EFAEF3C}"/>
              </c:ext>
            </c:extLst>
          </c:dPt>
          <c:dPt>
            <c:idx val="4"/>
            <c:invertIfNegative val="0"/>
            <c:bubble3D val="0"/>
            <c:spPr>
              <a:solidFill>
                <a:srgbClr val="FF85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A-3DEE-4BDA-A4EE-86079EFAEF3C}"/>
              </c:ext>
            </c:extLst>
          </c:dPt>
          <c:dPt>
            <c:idx val="5"/>
            <c:invertIfNegative val="0"/>
            <c:bubble3D val="0"/>
            <c:spPr>
              <a:solidFill>
                <a:srgbClr val="A31E2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C-3DEE-4BDA-A4EE-86079EFAEF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3DEE-4BDA-A4EE-86079EFAE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D-3DEE-4BDA-A4EE-86079EFAEF3C}"/>
            </c:ext>
          </c:extLst>
        </c:ser>
        <c:ser>
          <c:idx val="4"/>
          <c:order val="4"/>
          <c:tx>
            <c:v>
            </c:v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F-3DEE-4BDA-A4EE-86079EFAEF3C}"/>
              </c:ext>
            </c:extLst>
          </c:dPt>
          <c:dPt>
            <c:idx val="1"/>
            <c:invertIfNegative val="0"/>
            <c:bubble3D val="0"/>
            <c:spPr>
              <a:solidFill>
                <a:srgbClr val="889E0A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1-3DEE-4BDA-A4EE-86079EFAEF3C}"/>
              </c:ext>
            </c:extLst>
          </c:dPt>
          <c:dPt>
            <c:idx val="2"/>
            <c:invertIfNegative val="0"/>
            <c:bubble3D val="0"/>
            <c:spPr>
              <a:solidFill>
                <a:srgbClr val="FFB81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3-3DEE-4BDA-A4EE-86079EFAEF3C}"/>
              </c:ext>
            </c:extLst>
          </c:dPt>
          <c:dPt>
            <c:idx val="3"/>
            <c:invertIfNegative val="0"/>
            <c:bubble3D val="0"/>
            <c:spPr>
              <a:solidFill>
                <a:srgbClr val="FF85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5-3DEE-4BDA-A4EE-86079EFAEF3C}"/>
              </c:ext>
            </c:extLst>
          </c:dPt>
          <c:dPt>
            <c:idx val="4"/>
            <c:invertIfNegative val="0"/>
            <c:bubble3D val="0"/>
            <c:spPr>
              <a:solidFill>
                <a:srgbClr val="A31E2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7-3DEE-4BDA-A4EE-86079EFAEF3C}"/>
              </c:ext>
            </c:extLst>
          </c:dPt>
          <c:dPt>
            <c:idx val="5"/>
            <c:invertIfNegative val="0"/>
            <c:bubble3D val="0"/>
            <c:spPr>
              <a:solidFill>
                <a:srgbClr val="A31E2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9-3DEE-4BDA-A4EE-86079EFAEF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3DEE-4BDA-A4EE-86079EFAE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3A-3DEE-4BDA-A4EE-86079EFAEF3C}"/>
            </c:ext>
          </c:extLst>
        </c:ser>
        <c:ser>
          <c:idx val="17"/>
          <c:order val="5"/>
          <c:tx>
            <c:v>
            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C-3DEE-4BDA-A4EE-86079EFAEF3C}"/>
              </c:ext>
            </c:extLst>
          </c:dPt>
          <c:dPt>
            <c:idx val="1"/>
            <c:invertIfNegative val="0"/>
            <c:bubble3D val="0"/>
            <c:spPr>
              <a:solidFill>
                <a:srgbClr val="FFB81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E-3DEE-4BDA-A4EE-86079EFAEF3C}"/>
              </c:ext>
            </c:extLst>
          </c:dPt>
          <c:dPt>
            <c:idx val="2"/>
            <c:invertIfNegative val="0"/>
            <c:bubble3D val="0"/>
            <c:spPr>
              <a:solidFill>
                <a:srgbClr val="FF85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0-3DEE-4BDA-A4EE-86079EFAEF3C}"/>
              </c:ext>
            </c:extLst>
          </c:dPt>
          <c:dPt>
            <c:idx val="3"/>
            <c:invertIfNegative val="0"/>
            <c:bubble3D val="0"/>
            <c:spPr>
              <a:solidFill>
                <a:srgbClr val="A31E2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2-3DEE-4BDA-A4EE-86079EFAEF3C}"/>
              </c:ext>
            </c:extLst>
          </c:dPt>
          <c:dPt>
            <c:idx val="4"/>
            <c:invertIfNegative val="0"/>
            <c:bubble3D val="0"/>
            <c:spPr>
              <a:solidFill>
                <a:srgbClr val="A31E2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4-3DEE-4BDA-A4EE-86079EFAEF3C}"/>
              </c:ext>
            </c:extLst>
          </c:dPt>
          <c:dPt>
            <c:idx val="5"/>
            <c:invertIfNegative val="0"/>
            <c:bubble3D val="0"/>
            <c:spPr>
              <a:solidFill>
                <a:srgbClr val="A31E2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6-3DEE-4BDA-A4EE-86079EFAEF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3DEE-4BDA-A4EE-86079EFAE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47-3DEE-4BDA-A4EE-86079EFAE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8457984"/>
        <c:axId val="88459904"/>
      </c:barChart>
      <c:scatterChart>
        <c:scatterStyle val="lineMarker"/>
        <c:varyColors val="0"/>
        <c:ser>
          <c:idx val="5"/>
          <c:order val="6"/>
          <c:tx>
            <c:v>Before</c:v>
          </c:tx>
          <c:spPr>
            <a:ln w="28575">
              <a:solidFill>
                <a:schemeClr val="tx2"/>
              </a:solidFill>
            </a:ln>
          </c:spPr>
          <c:marker>
            <c:symbol val="diamond"/>
            <c:size val="15"/>
            <c:spPr>
              <a:solidFill>
                <a:schemeClr val="tx2"/>
              </a:solidFill>
              <a:ln>
                <a:solidFill>
                  <a:schemeClr val="tx2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Lbls>
            <c:dLbl>
              <c:idx val="0"/>
              <c:layout>
                <c:manualLayout>
                  <c:x val="-8.1677894100709192E-2"/>
                  <c:y val="6.623962545222388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3DEE-4BDA-A4EE-86079EFAE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 algn="l">
                  <a:defRPr sz="825" b="1" i="0" u="none" strike="noStrike" baseline="0">
                    <a:solidFill>
                      <a:sysClr val="windowText" lastClr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'IP (2) Risk 2'!N2</c:f>
              <c:numCache>
                <c:formatCode>[$-1010409]General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'IP (2) Risk 2'!N3</c:f>
              <c:numCache>
                <c:formatCode>[$-1010409]General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3DEE-4BDA-A4EE-86079EFAEF3C}"/>
            </c:ext>
          </c:extLst>
        </c:ser>
        <c:ser>
          <c:idx val="6"/>
          <c:order val="7"/>
          <c:tx>
            <c:v>After</c:v>
          </c:tx>
          <c:spPr>
            <a:ln w="28575">
              <a:noFill/>
            </a:ln>
          </c:spPr>
          <c:marker>
            <c:symbol val="triangle"/>
            <c:size val="15"/>
            <c:spPr>
              <a:solidFill>
                <a:srgbClr val="8064A2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Lbls>
            <c:dLbl>
              <c:idx val="0"/>
              <c:layout>
                <c:manualLayout>
                  <c:x val="-3.9494470774091104E-3"/>
                  <c:y val="9.8423643790088357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825" b="1" i="0" u="none" strike="noStrike" baseline="0">
                      <a:solidFill>
                        <a:sysClr val="windowText" lastClr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3DEE-4BDA-A4EE-86079EFAE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1" i="0" u="none" strike="noStrike" baseline="0">
                    <a:solidFill>
                      <a:sysClr val="windowText" lastClr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'IP (2) Risk 2'!O2</c:f>
              <c:numCache>
                <c:formatCode>[$-1010409]General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'IP (2) Risk 2'!O3</c:f>
              <c:numCache>
                <c:formatCode>[$-1010409]General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3DEE-4BDA-A4EE-86079EFAE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78464"/>
        <c:axId val="88480000"/>
      </c:scatterChart>
      <c:catAx>
        <c:axId val="88457984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Impact</a:t>
                </a:r>
              </a:p>
            </c:rich>
          </c:tx>
          <c:layout>
            <c:manualLayout>
              <c:xMode val="edge"/>
              <c:yMode val="edge"/>
              <c:x val="0.45350538857586364"/>
              <c:y val="0.9341643612116052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crossAx val="88459904"/>
        <c:crosses val="autoZero"/>
        <c:auto val="1"/>
        <c:lblAlgn val="ctr"/>
        <c:lblOffset val="100"/>
        <c:noMultiLvlLbl val="0"/>
      </c:catAx>
      <c:valAx>
        <c:axId val="88459904"/>
        <c:scaling>
          <c:orientation val="minMax"/>
          <c:max val="6"/>
          <c:min val="0"/>
        </c:scaling>
        <c:delete val="1"/>
        <c:axPos val="l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Likelihood</a:t>
                </a:r>
              </a:p>
            </c:rich>
          </c:tx>
          <c:layout>
            <c:manualLayout>
              <c:xMode val="edge"/>
              <c:yMode val="edge"/>
              <c:x val="4.8073561910855966E-3"/>
              <c:y val="0.392611548556430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8457984"/>
        <c:crosses val="autoZero"/>
        <c:crossBetween val="between"/>
        <c:majorUnit val="1"/>
      </c:valAx>
      <c:valAx>
        <c:axId val="88478464"/>
        <c:scaling>
          <c:orientation val="minMax"/>
        </c:scaling>
        <c:delete val="1"/>
        <c:axPos val="b"/>
        <c:numFmt formatCode="[$-1010409]General" sourceLinked="1"/>
        <c:majorTickMark val="out"/>
        <c:minorTickMark val="none"/>
        <c:tickLblPos val="nextTo"/>
        <c:crossAx val="88480000"/>
        <c:crosses val="autoZero"/>
        <c:crossBetween val="midCat"/>
      </c:valAx>
      <c:valAx>
        <c:axId val="88480000"/>
        <c:scaling>
          <c:orientation val="minMax"/>
          <c:max val="5"/>
        </c:scaling>
        <c:delete val="1"/>
        <c:axPos val="r"/>
        <c:numFmt formatCode="[$-1010409]General" sourceLinked="1"/>
        <c:majorTickMark val="out"/>
        <c:minorTickMark val="none"/>
        <c:tickLblPos val="nextTo"/>
        <c:crossAx val="88478464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659633967875911E-2"/>
          <c:y val="4.4378698224852069E-2"/>
          <c:w val="0.91116498699513582"/>
          <c:h val="0.8897861247073845"/>
        </c:manualLayout>
      </c:layout>
      <c:barChart>
        <c:barDir val="col"/>
        <c:grouping val="stacked"/>
        <c:varyColors val="0"/>
        <c:ser>
          <c:idx val="0"/>
          <c:order val="0"/>
          <c:tx>
            <c:v>
            </c:v>
          </c:tx>
          <c:spPr>
            <a:solidFill>
              <a:srgbClr val="C0C0C0"/>
            </a:solidFill>
            <a:ln w="3175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DEE-4BDA-A4EE-86079EFAEF3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DEE-4BDA-A4EE-86079EFAEF3C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DEE-4BDA-A4EE-86079EFAEF3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DEE-4BDA-A4EE-86079EFAEF3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3DEE-4BDA-A4EE-86079EFAEF3C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DEE-4BDA-A4EE-86079EFAEF3C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DEE-4BDA-A4EE-86079EFAEF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separator>
             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DEE-4BDA-A4EE-86079EFAEF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separator>
             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DEE-4BDA-A4EE-86079EFAEF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separator>
             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DEE-4BDA-A4EE-86079EFAEF3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separator>
             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DEE-4BDA-A4EE-86079EFAE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           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6-3DEE-4BDA-A4EE-86079EFAEF3C}"/>
            </c:ext>
          </c:extLst>
        </c:ser>
        <c:ser>
          <c:idx val="1"/>
          <c:order val="1"/>
          <c:tx>
            <c:v>
            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3DEE-4BDA-A4EE-86079EFAEF3C}"/>
              </c:ext>
            </c:extLst>
          </c:dPt>
          <c:dPt>
            <c:idx val="1"/>
            <c:invertIfNegative val="0"/>
            <c:bubble3D val="0"/>
            <c:spPr>
              <a:solidFill>
                <a:srgbClr val="00986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3DEE-4BDA-A4EE-86079EFAEF3C}"/>
              </c:ext>
            </c:extLst>
          </c:dPt>
          <c:dPt>
            <c:idx val="2"/>
            <c:invertIfNegative val="0"/>
            <c:bubble3D val="0"/>
            <c:spPr>
              <a:solidFill>
                <a:srgbClr val="00986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3DEE-4BDA-A4EE-86079EFAEF3C}"/>
              </c:ext>
            </c:extLst>
          </c:dPt>
          <c:dPt>
            <c:idx val="3"/>
            <c:invertIfNegative val="0"/>
            <c:bubble3D val="0"/>
            <c:spPr>
              <a:solidFill>
                <a:srgbClr val="00C38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E-3DEE-4BDA-A4EE-86079EFAEF3C}"/>
              </c:ext>
            </c:extLst>
          </c:dPt>
          <c:dPt>
            <c:idx val="4"/>
            <c:invertIfNegative val="0"/>
            <c:bubble3D val="0"/>
            <c:spPr>
              <a:solidFill>
                <a:srgbClr val="FFB81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3DEE-4BDA-A4EE-86079EFAEF3C}"/>
              </c:ext>
            </c:extLst>
          </c:dPt>
          <c:dPt>
            <c:idx val="5"/>
            <c:invertIfNegative val="0"/>
            <c:bubble3D val="0"/>
            <c:spPr>
              <a:solidFill>
                <a:srgbClr val="FF85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3DEE-4BDA-A4EE-86079EFAEF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DEE-4BDA-A4EE-86079EFAE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3-3DEE-4BDA-A4EE-86079EFAEF3C}"/>
            </c:ext>
          </c:extLst>
        </c:ser>
        <c:ser>
          <c:idx val="2"/>
          <c:order val="2"/>
          <c:tx>
            <c:v>
            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5-3DEE-4BDA-A4EE-86079EFAEF3C}"/>
              </c:ext>
            </c:extLst>
          </c:dPt>
          <c:dPt>
            <c:idx val="1"/>
            <c:invertIfNegative val="0"/>
            <c:bubble3D val="0"/>
            <c:spPr>
              <a:solidFill>
                <a:srgbClr val="009865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7-3DEE-4BDA-A4EE-86079EFAEF3C}"/>
              </c:ext>
            </c:extLst>
          </c:dPt>
          <c:dPt>
            <c:idx val="2"/>
            <c:invertIfNegative val="0"/>
            <c:bubble3D val="0"/>
            <c:spPr>
              <a:solidFill>
                <a:srgbClr val="00C38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9-3DEE-4BDA-A4EE-86079EFAEF3C}"/>
              </c:ext>
            </c:extLst>
          </c:dPt>
          <c:dPt>
            <c:idx val="3"/>
            <c:invertIfNegative val="0"/>
            <c:bubble3D val="0"/>
            <c:spPr>
              <a:solidFill>
                <a:srgbClr val="889E0A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B-3DEE-4BDA-A4EE-86079EFAEF3C}"/>
              </c:ext>
            </c:extLst>
          </c:dPt>
          <c:dPt>
            <c:idx val="4"/>
            <c:invertIfNegative val="0"/>
            <c:bubble3D val="0"/>
            <c:spPr>
              <a:solidFill>
                <a:srgbClr val="FFB81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D-3DEE-4BDA-A4EE-86079EFAEF3C}"/>
              </c:ext>
            </c:extLst>
          </c:dPt>
          <c:dPt>
            <c:idx val="5"/>
            <c:invertIfNegative val="0"/>
            <c:bubble3D val="0"/>
            <c:spPr>
              <a:solidFill>
                <a:srgbClr val="A31E2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F-3DEE-4BDA-A4EE-86079EFAEF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DEE-4BDA-A4EE-86079EFAE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0-3DEE-4BDA-A4EE-86079EFAEF3C}"/>
            </c:ext>
          </c:extLst>
        </c:ser>
        <c:ser>
          <c:idx val="3"/>
          <c:order val="3"/>
          <c:tx>
            <c:v>
            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2-3DEE-4BDA-A4EE-86079EFAEF3C}"/>
              </c:ext>
            </c:extLst>
          </c:dPt>
          <c:dPt>
            <c:idx val="1"/>
            <c:invertIfNegative val="0"/>
            <c:bubble3D val="0"/>
            <c:spPr>
              <a:solidFill>
                <a:srgbClr val="00C38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4-3DEE-4BDA-A4EE-86079EFAEF3C}"/>
              </c:ext>
            </c:extLst>
          </c:dPt>
          <c:dPt>
            <c:idx val="2"/>
            <c:invertIfNegative val="0"/>
            <c:bubble3D val="0"/>
            <c:spPr>
              <a:solidFill>
                <a:srgbClr val="889E0A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6-3DEE-4BDA-A4EE-86079EFAEF3C}"/>
              </c:ext>
            </c:extLst>
          </c:dPt>
          <c:dPt>
            <c:idx val="3"/>
            <c:invertIfNegative val="0"/>
            <c:bubble3D val="0"/>
            <c:spPr>
              <a:solidFill>
                <a:srgbClr val="FFB81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8-3DEE-4BDA-A4EE-86079EFAEF3C}"/>
              </c:ext>
            </c:extLst>
          </c:dPt>
          <c:dPt>
            <c:idx val="4"/>
            <c:invertIfNegative val="0"/>
            <c:bubble3D val="0"/>
            <c:spPr>
              <a:solidFill>
                <a:srgbClr val="FF85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A-3DEE-4BDA-A4EE-86079EFAEF3C}"/>
              </c:ext>
            </c:extLst>
          </c:dPt>
          <c:dPt>
            <c:idx val="5"/>
            <c:invertIfNegative val="0"/>
            <c:bubble3D val="0"/>
            <c:spPr>
              <a:solidFill>
                <a:srgbClr val="A31E2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C-3DEE-4BDA-A4EE-86079EFAEF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3DEE-4BDA-A4EE-86079EFAE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D-3DEE-4BDA-A4EE-86079EFAEF3C}"/>
            </c:ext>
          </c:extLst>
        </c:ser>
        <c:ser>
          <c:idx val="4"/>
          <c:order val="4"/>
          <c:tx>
            <c:v>
            </c:v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F-3DEE-4BDA-A4EE-86079EFAEF3C}"/>
              </c:ext>
            </c:extLst>
          </c:dPt>
          <c:dPt>
            <c:idx val="1"/>
            <c:invertIfNegative val="0"/>
            <c:bubble3D val="0"/>
            <c:spPr>
              <a:solidFill>
                <a:srgbClr val="889E0A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1-3DEE-4BDA-A4EE-86079EFAEF3C}"/>
              </c:ext>
            </c:extLst>
          </c:dPt>
          <c:dPt>
            <c:idx val="2"/>
            <c:invertIfNegative val="0"/>
            <c:bubble3D val="0"/>
            <c:spPr>
              <a:solidFill>
                <a:srgbClr val="FFB81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3-3DEE-4BDA-A4EE-86079EFAEF3C}"/>
              </c:ext>
            </c:extLst>
          </c:dPt>
          <c:dPt>
            <c:idx val="3"/>
            <c:invertIfNegative val="0"/>
            <c:bubble3D val="0"/>
            <c:spPr>
              <a:solidFill>
                <a:srgbClr val="FF85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5-3DEE-4BDA-A4EE-86079EFAEF3C}"/>
              </c:ext>
            </c:extLst>
          </c:dPt>
          <c:dPt>
            <c:idx val="4"/>
            <c:invertIfNegative val="0"/>
            <c:bubble3D val="0"/>
            <c:spPr>
              <a:solidFill>
                <a:srgbClr val="A31E2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7-3DEE-4BDA-A4EE-86079EFAEF3C}"/>
              </c:ext>
            </c:extLst>
          </c:dPt>
          <c:dPt>
            <c:idx val="5"/>
            <c:invertIfNegative val="0"/>
            <c:bubble3D val="0"/>
            <c:spPr>
              <a:solidFill>
                <a:srgbClr val="A31E2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9-3DEE-4BDA-A4EE-86079EFAEF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3DEE-4BDA-A4EE-86079EFAE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3A-3DEE-4BDA-A4EE-86079EFAEF3C}"/>
            </c:ext>
          </c:extLst>
        </c:ser>
        <c:ser>
          <c:idx val="17"/>
          <c:order val="5"/>
          <c:tx>
            <c:v>
            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C-3DEE-4BDA-A4EE-86079EFAEF3C}"/>
              </c:ext>
            </c:extLst>
          </c:dPt>
          <c:dPt>
            <c:idx val="1"/>
            <c:invertIfNegative val="0"/>
            <c:bubble3D val="0"/>
            <c:spPr>
              <a:solidFill>
                <a:srgbClr val="FFB81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E-3DEE-4BDA-A4EE-86079EFAEF3C}"/>
              </c:ext>
            </c:extLst>
          </c:dPt>
          <c:dPt>
            <c:idx val="2"/>
            <c:invertIfNegative val="0"/>
            <c:bubble3D val="0"/>
            <c:spPr>
              <a:solidFill>
                <a:srgbClr val="FF85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0-3DEE-4BDA-A4EE-86079EFAEF3C}"/>
              </c:ext>
            </c:extLst>
          </c:dPt>
          <c:dPt>
            <c:idx val="3"/>
            <c:invertIfNegative val="0"/>
            <c:bubble3D val="0"/>
            <c:spPr>
              <a:solidFill>
                <a:srgbClr val="A31E2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2-3DEE-4BDA-A4EE-86079EFAEF3C}"/>
              </c:ext>
            </c:extLst>
          </c:dPt>
          <c:dPt>
            <c:idx val="4"/>
            <c:invertIfNegative val="0"/>
            <c:bubble3D val="0"/>
            <c:spPr>
              <a:solidFill>
                <a:srgbClr val="A31E2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4-3DEE-4BDA-A4EE-86079EFAEF3C}"/>
              </c:ext>
            </c:extLst>
          </c:dPt>
          <c:dPt>
            <c:idx val="5"/>
            <c:invertIfNegative val="0"/>
            <c:bubble3D val="0"/>
            <c:spPr>
              <a:solidFill>
                <a:srgbClr val="A31E2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6-3DEE-4BDA-A4EE-86079EFAEF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825" b="1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3DEE-4BDA-A4EE-86079EFAE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47-3DEE-4BDA-A4EE-86079EFAE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8457984"/>
        <c:axId val="88459904"/>
      </c:barChart>
      <c:scatterChart>
        <c:scatterStyle val="lineMarker"/>
        <c:varyColors val="0"/>
        <c:ser>
          <c:idx val="5"/>
          <c:order val="6"/>
          <c:tx>
            <c:v>Before</c:v>
          </c:tx>
          <c:spPr>
            <a:ln w="28575">
              <a:solidFill>
                <a:schemeClr val="tx2"/>
              </a:solidFill>
            </a:ln>
          </c:spPr>
          <c:marker>
            <c:symbol val="diamond"/>
            <c:size val="15"/>
            <c:spPr>
              <a:solidFill>
                <a:schemeClr val="tx2"/>
              </a:solidFill>
              <a:ln>
                <a:solidFill>
                  <a:schemeClr val="tx2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Lbls>
            <c:dLbl>
              <c:idx val="0"/>
              <c:layout>
                <c:manualLayout>
                  <c:x val="-8.1677894100709192E-2"/>
                  <c:y val="6.623962545222388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3DEE-4BDA-A4EE-86079EFAE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 algn="l">
                  <a:defRPr sz="825" b="1" i="0" u="none" strike="noStrike" baseline="0">
                    <a:solidFill>
                      <a:sysClr val="windowText" lastClr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'IP (3) Risk 1'!N2</c:f>
              <c:numCache>
                <c:formatCode>[$-1010409]General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'IP (3) Risk 1'!N3</c:f>
              <c:numCache>
                <c:formatCode>[$-1010409]General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3DEE-4BDA-A4EE-86079EFAEF3C}"/>
            </c:ext>
          </c:extLst>
        </c:ser>
        <c:ser>
          <c:idx val="6"/>
          <c:order val="7"/>
          <c:tx>
            <c:v>After</c:v>
          </c:tx>
          <c:spPr>
            <a:ln w="28575">
              <a:noFill/>
            </a:ln>
          </c:spPr>
          <c:marker>
            <c:symbol val="triangle"/>
            <c:size val="15"/>
            <c:spPr>
              <a:solidFill>
                <a:srgbClr val="8064A2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Lbls>
            <c:dLbl>
              <c:idx val="0"/>
              <c:layout>
                <c:manualLayout>
                  <c:x val="-3.9494470774091104E-3"/>
                  <c:y val="9.8423643790088357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825" b="1" i="0" u="none" strike="noStrike" baseline="0">
                      <a:solidFill>
                        <a:sysClr val="windowText" lastClr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3DEE-4BDA-A4EE-86079EFAE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1" i="0" u="none" strike="noStrike" baseline="0">
                    <a:solidFill>
                      <a:sysClr val="windowText" lastClr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'IP (3) Risk 1'!O2</c:f>
              <c:numCache>
                <c:formatCode>[$-1010409]General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'IP (3) Risk 1'!O3</c:f>
              <c:numCache>
                <c:formatCode>[$-1010409]General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3DEE-4BDA-A4EE-86079EFAE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78464"/>
        <c:axId val="88480000"/>
      </c:scatterChart>
      <c:catAx>
        <c:axId val="88457984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Impact</a:t>
                </a:r>
              </a:p>
            </c:rich>
          </c:tx>
          <c:layout>
            <c:manualLayout>
              <c:xMode val="edge"/>
              <c:yMode val="edge"/>
              <c:x val="0.45350538857586364"/>
              <c:y val="0.9341643612116052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crossAx val="88459904"/>
        <c:crosses val="autoZero"/>
        <c:auto val="1"/>
        <c:lblAlgn val="ctr"/>
        <c:lblOffset val="100"/>
        <c:noMultiLvlLbl val="0"/>
      </c:catAx>
      <c:valAx>
        <c:axId val="88459904"/>
        <c:scaling>
          <c:orientation val="minMax"/>
          <c:max val="6"/>
          <c:min val="0"/>
        </c:scaling>
        <c:delete val="1"/>
        <c:axPos val="l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Likelihood</a:t>
                </a:r>
              </a:p>
            </c:rich>
          </c:tx>
          <c:layout>
            <c:manualLayout>
              <c:xMode val="edge"/>
              <c:yMode val="edge"/>
              <c:x val="4.8073561910855966E-3"/>
              <c:y val="0.392611548556430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8457984"/>
        <c:crosses val="autoZero"/>
        <c:crossBetween val="between"/>
        <c:majorUnit val="1"/>
      </c:valAx>
      <c:valAx>
        <c:axId val="88478464"/>
        <c:scaling>
          <c:orientation val="minMax"/>
        </c:scaling>
        <c:delete val="1"/>
        <c:axPos val="b"/>
        <c:numFmt formatCode="[$-1010409]General" sourceLinked="1"/>
        <c:majorTickMark val="out"/>
        <c:minorTickMark val="none"/>
        <c:tickLblPos val="nextTo"/>
        <c:crossAx val="88480000"/>
        <c:crosses val="autoZero"/>
        <c:crossBetween val="midCat"/>
      </c:valAx>
      <c:valAx>
        <c:axId val="88480000"/>
        <c:scaling>
          <c:orientation val="minMax"/>
          <c:max val="5"/>
        </c:scaling>
        <c:delete val="1"/>
        <c:axPos val="r"/>
        <c:numFmt formatCode="[$-1010409]General" sourceLinked="1"/>
        <c:majorTickMark val="out"/>
        <c:minorTickMark val="none"/>
        <c:tickLblPos val="nextTo"/>
        <c:crossAx val="88478464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24.xml.rels><?xml version="1.0" encoding="UTF-8" standalone="yes"?>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25.xml.rels><?xml version="1.0" encoding="UTF-8" standalone="yes"?>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26.xml.rels><?xml version="1.0" encoding="UTF-8" standalone="yes"?>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1</xdr:row>
      <xdr:rowOff>28575</xdr:rowOff>
    </xdr:from>
    <xdr:to>
      <xdr:col>8</xdr:col>
      <xdr:colOff>1343025</xdr:colOff>
      <xdr:row>24</xdr:row>
      <xdr:rowOff>9525</xdr:rowOff>
    </xdr:to>
    <xdr:graphicFrame macro="">
      <xdr:nvGraphicFramePr>
        <xdr:cNvPr id="93453" name="Chart 1">
          <a:extLst>
            <a:ext uri="{FF2B5EF4-FFF2-40B4-BE49-F238E27FC236}">
              <a16:creationId xmlns:a16="http://schemas.microsoft.com/office/drawing/2014/main" id="{00000000-0008-0000-0200-00000D6D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510347</xdr:colOff>
      <xdr:row>4</xdr:row>
      <xdr:rowOff>179293</xdr:rowOff>
    </xdr:from>
    <xdr:to>
      <xdr:col>18</xdr:col>
      <xdr:colOff>286871</xdr:colOff>
      <xdr:row>26</xdr:row>
      <xdr:rowOff>88767</xdr:rowOff>
    </xdr:to>
    <xdr:graphicFrame macro="">
      <xdr:nvGraphicFramePr>
        <xdr:cNvPr id="135699" name="BubbleAfter">
          <a:extLst>
            <a:ext uri="{FF2B5EF4-FFF2-40B4-BE49-F238E27FC236}">
              <a16:creationId xmlns:a16="http://schemas.microsoft.com/office/drawing/2014/main" id="{00000000-0008-0000-0500-00001312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400050</xdr:colOff>
      <xdr:row>4</xdr:row>
      <xdr:rowOff>180975</xdr:rowOff>
    </xdr:from>
    <xdr:to>
      <xdr:col>9</xdr:col>
      <xdr:colOff>180975</xdr:colOff>
      <xdr:row>26</xdr:row>
      <xdr:rowOff>85725</xdr:rowOff>
    </xdr:to>
    <xdr:graphicFrame macro="">
      <xdr:nvGraphicFramePr>
        <xdr:cNvPr id="135700" name="BubbleBefore">
          <a:extLst>
            <a:ext uri="{FF2B5EF4-FFF2-40B4-BE49-F238E27FC236}">
              <a16:creationId xmlns:a16="http://schemas.microsoft.com/office/drawing/2014/main" id="{00000000-0008-0000-0500-00001412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219075</xdr:colOff>
      <xdr:row>3</xdr:row>
      <xdr:rowOff>57150</xdr:rowOff>
    </xdr:from>
    <xdr:to>
      <xdr:col>4</xdr:col>
      <xdr:colOff>704850</xdr:colOff>
      <xdr:row>6</xdr:row>
      <xdr:rowOff>66675</xdr:rowOff>
    </xdr:to>
    <xdr:graphicFrame macro="">
      <xdr:nvGraphicFramePr>
        <xdr:cNvPr id="42476" name="Chart 14">
          <a:extLst>
            <a:ext uri="{FF2B5EF4-FFF2-40B4-BE49-F238E27FC236}">
              <a16:creationId xmlns:a16="http://schemas.microsoft.com/office/drawing/2014/main" id="{00000000-0008-0000-0600-0000ECA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219075</xdr:colOff>
      <xdr:row>3</xdr:row>
      <xdr:rowOff>57150</xdr:rowOff>
    </xdr:from>
    <xdr:to>
      <xdr:col>4</xdr:col>
      <xdr:colOff>704850</xdr:colOff>
      <xdr:row>6</xdr:row>
      <xdr:rowOff>66675</xdr:rowOff>
    </xdr:to>
    <xdr:graphicFrame macro="">
      <xdr:nvGraphicFramePr>
        <xdr:cNvPr id="42477" name="Chart 14">
          <a:extLst>
            <a:ext uri="{FF2B5EF4-FFF2-40B4-BE49-F238E27FC236}">
              <a16:creationId xmlns:a16="http://schemas.microsoft.com/office/drawing/2014/main" id="{00000000-0008-0000-0600-0000EDA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76200</xdr:colOff>
      <xdr:row>3</xdr:row>
      <xdr:rowOff>85725</xdr:rowOff>
    </xdr:from>
    <xdr:ext cx="4219575" cy="2819400"/>
    <xdr:graphicFrame macro="">
      <xdr:nvGraphicFramePr>
        <xdr:cNvPr id="2" name="Chart 1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76200</xdr:colOff>
      <xdr:row>3</xdr:row>
      <xdr:rowOff>85725</xdr:rowOff>
    </xdr:from>
    <xdr:ext cx="4219575" cy="2819400"/>
    <xdr:graphicFrame macro="">
      <xdr:nvGraphicFramePr>
        <xdr:cNvPr id="2" name="Chart 1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76200</xdr:colOff>
      <xdr:row>3</xdr:row>
      <xdr:rowOff>85725</xdr:rowOff>
    </xdr:from>
    <xdr:ext cx="4219575" cy="2819400"/>
    <xdr:graphicFrame macro="">
      <xdr:nvGraphicFramePr>
        <xdr:cNvPr id="2" name="Chart 1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6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2.xml"/></Relationships>
</file>

<file path=xl/worksheets/_rels/sheet7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3.xml"/></Relationships>
</file>

<file path=xl/worksheets/_rels/sheet2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  <pageSetUpPr fitToPage="1"/>
  </sheetPr>
  <dimension ref="A1:O26"/>
  <sheetViews>
    <sheetView showGridLines="0" zoomScaleNormal="100" workbookViewId="0">
      <pane ySplit="4" topLeftCell="A5" activePane="bottomLeft" state="frozen"/>
      <selection pane="bottomLeft" activeCell="B5" sqref="B5"/>
    </sheetView>
  </sheetViews>
  <sheetFormatPr defaultColWidth="9.109375" defaultRowHeight="11.4" x14ac:dyDescent="0.2"/>
  <cols>
    <col min="1" max="1" width="4.88671875" customWidth="1" style="91"/>
    <col min="2" max="2" width="18.6640625" customWidth="1" style="91"/>
    <col min="3" max="3" bestFit="1" width="13.6640625" customWidth="1" style="103"/>
    <col min="4" max="4" width="50" customWidth="1" style="117"/>
    <col min="5" max="5" width="24.109375" customWidth="1" style="117"/>
    <col min="6" max="6" width="36.44140625" customWidth="1" style="117"/>
    <col min="7" max="7" width="38.109375" customWidth="1" style="117"/>
    <col min="8" max="13" width="6" customWidth="1" style="109"/>
    <col min="14" max="16384" width="9.109375" customWidth="1" style="107"/>
  </cols>
  <sheetData>
    <row r="1" ht="13.2" s="108" customFormat="1">
      <c r="A1" s="120"/>
      <c r="B1" s="47" t="s">
        <v>20</v>
      </c>
      <c r="C1" s="118" t="s">
        <v>21</v>
      </c>
      <c r="D1" s="105"/>
      <c r="E1" s="118"/>
      <c r="F1" s="118"/>
      <c r="G1" s="118"/>
      <c r="H1" s="111"/>
      <c r="I1" s="111"/>
      <c r="J1" s="111"/>
      <c r="K1" s="111"/>
      <c r="L1" s="111"/>
      <c r="M1" s="112"/>
    </row>
    <row r="2" ht="13.2" s="108" customFormat="1">
      <c r="A2" s="121"/>
      <c r="B2" s="46" t="s">
        <v>22</v>
      </c>
      <c r="C2" s="115">
        <v>43836</v>
      </c>
      <c r="D2" s="106"/>
      <c r="E2" s="119"/>
      <c r="F2" s="119"/>
      <c r="G2" s="119"/>
      <c r="H2" s="106"/>
      <c r="I2" s="106"/>
      <c r="J2" s="106"/>
      <c r="K2" s="106"/>
      <c r="L2" s="106"/>
      <c r="M2" s="113"/>
    </row>
    <row r="3" ht="15" customHeight="1" s="108" customFormat="1">
      <c r="A3" s="122"/>
      <c r="B3" s="48" t="s">
        <v>23</v>
      </c>
      <c r="C3" s="199" t="s">
        <v>24</v>
      </c>
      <c r="D3" s="199"/>
      <c r="E3" s="199"/>
      <c r="F3" s="199"/>
      <c r="G3" s="200"/>
      <c r="H3" s="198" t="s">
        <v>25</v>
      </c>
      <c r="I3" s="198"/>
      <c r="J3" s="198"/>
      <c r="K3" s="198" t="s">
        <v>26</v>
      </c>
      <c r="L3" s="198"/>
      <c r="M3" s="198"/>
    </row>
    <row r="4" ht="13.2" s="114" customFormat="1">
      <c r="A4" s="110" t="s">
        <v>0</v>
      </c>
      <c r="B4" s="110" t="s">
        <v>1</v>
      </c>
      <c r="C4" s="110" t="s">
        <v>11</v>
      </c>
      <c r="D4" s="116" t="s">
        <v>27</v>
      </c>
      <c r="E4" s="116" t="s">
        <v>28</v>
      </c>
      <c r="F4" s="116" t="s">
        <v>9</v>
      </c>
      <c r="G4" s="116" t="s">
        <v>29</v>
      </c>
      <c r="H4" s="110" t="s">
        <v>7</v>
      </c>
      <c r="I4" s="110" t="s">
        <v>8</v>
      </c>
      <c r="J4" s="110" t="s">
        <v>2</v>
      </c>
      <c r="K4" s="110" t="s">
        <v>7</v>
      </c>
      <c r="L4" s="110" t="s">
        <v>8</v>
      </c>
      <c r="M4" s="110" t="s">
        <v>2</v>
      </c>
    </row>
    <row r="5" ht="50" customHeight="1">
      <c r="A5" s="91">
        <v>3</v>
      </c>
      <c r="B5" s="91" t="s">
        <v>30</v>
      </c>
      <c r="C5" s="103" t="s">
        <v>19</v>
      </c>
      <c r="D5" s="117"/>
      <c r="E5" s="117"/>
      <c r="F5" s="117"/>
      <c r="G5" s="117"/>
      <c r="H5" s="109">
        <v>4</v>
      </c>
      <c r="I5" s="109">
        <v>4</v>
      </c>
      <c r="J5" s="109">
        <f>=H5*I5</f>
      </c>
      <c r="K5" s="109">
        <v>1</v>
      </c>
      <c r="L5" s="109">
        <v>4</v>
      </c>
      <c r="M5" s="109">
        <f>=K5*L5</f>
      </c>
    </row>
    <row r="6" ht="50" customHeight="1">
      <c r="A6" s="91">
        <v>2</v>
      </c>
      <c r="B6" s="91" t="s">
        <v>31</v>
      </c>
      <c r="C6" s="103" t="s">
        <v>18</v>
      </c>
      <c r="D6" s="117"/>
      <c r="E6" s="117"/>
      <c r="F6" s="117"/>
      <c r="G6" s="117"/>
      <c r="H6" s="109">
        <v>4</v>
      </c>
      <c r="I6" s="109">
        <v>3</v>
      </c>
      <c r="J6" s="109">
        <f>=H6*I6</f>
      </c>
      <c r="K6" s="109">
        <v>2</v>
      </c>
      <c r="L6" s="109">
        <v>3</v>
      </c>
      <c r="M6" s="109">
        <f>=K6*L6</f>
      </c>
    </row>
    <row r="7" ht="50" customHeight="1">
      <c r="A7" s="91">
        <v>1</v>
      </c>
      <c r="B7" s="91" t="s">
        <v>32</v>
      </c>
      <c r="C7" s="103" t="s">
        <v>17</v>
      </c>
      <c r="D7" s="117"/>
      <c r="E7" s="117"/>
      <c r="F7" s="117"/>
      <c r="G7" s="117"/>
      <c r="H7" s="109">
        <v>3</v>
      </c>
      <c r="I7" s="109">
        <v>3</v>
      </c>
      <c r="J7" s="109">
        <f>=H7*I7</f>
      </c>
      <c r="K7" s="109">
        <v>4</v>
      </c>
      <c r="L7" s="109">
        <v>1</v>
      </c>
      <c r="M7" s="109">
        <f>=K7*L7</f>
      </c>
    </row>
    <row r="26">
      <c r="O26" s="107" t="s">
        <v>33</v>
      </c>
    </row>
  </sheetData>
  <autoFilter ref="A4:M4" xr:uid="{00000000-0009-0000-0000-000000000000}">
    <sortState ref="A5:O65536">
      <sortCondition descending="1" ref="J4"/>
    </sortState>
  </autoFilter>
  <mergeCells>
    <mergeCell ref="H3:J3"/>
    <mergeCell ref="K3:M3"/>
    <mergeCell ref="C3:G3"/>
  </mergeCells>
  <conditionalFormatting sqref="H5:I8">
    <cfRule priority="1" type="cellIs" operator="equal" dxfId="1">
      <formula>5</formula>
    </cfRule>
    <cfRule priority="2" type="cellIs" operator="equal" dxfId="2">
      <formula>4</formula>
    </cfRule>
    <cfRule priority="3" type="cellIs" operator="equal" dxfId="3">
      <formula>3</formula>
    </cfRule>
    <cfRule priority="4" type="cellIs" operator="equal" dxfId="4">
      <formula>2</formula>
    </cfRule>
    <cfRule priority="5" type="cellIs" operator="equal" dxfId="5">
      <formula>1</formula>
    </cfRule>
  </conditionalFormatting>
  <conditionalFormatting sqref="K5:L8">
    <cfRule priority="6" type="cellIs" operator="equal" dxfId="1">
      <formula>5</formula>
    </cfRule>
    <cfRule priority="7" type="cellIs" operator="equal" dxfId="2">
      <formula>4</formula>
    </cfRule>
    <cfRule priority="8" type="cellIs" operator="equal" dxfId="3">
      <formula>3</formula>
    </cfRule>
    <cfRule priority="9" type="cellIs" operator="equal" dxfId="4">
      <formula>2</formula>
    </cfRule>
    <cfRule priority="10" type="cellIs" operator="equal" dxfId="5">
      <formula>1</formula>
    </cfRule>
  </conditionalFormatting>
  <pageMargins left="0.39370077848434448" right="0.39370077848434448" top="0.39370077848434448" bottom="0.39370077848434448" header="0" footer="0"/>
  <pageSetup scale="59" fitToHeight="0" orientation="landscape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6"/>
  <sheetViews>
    <sheetView tabSelected="1" workbookViewId="0">
      <selection activeCell="H8" sqref="H8"/>
    </sheetView>
  </sheetViews>
  <sheetFormatPr defaultRowHeight="30" customHeight="1" x14ac:dyDescent="0.25"/>
  <cols>
    <col min="1" max="1" width="3.33203125" customWidth="1"/>
    <col min="2" max="7" width="13.88671875" customWidth="1"/>
    <col min="9" max="9" width="4.6640625" customWidth="1" style="165"/>
    <col min="10" max="10" width="48.6640625" customWidth="1" style="168"/>
    <col min="11" max="16" width="5.6640625" customWidth="1" style="165"/>
  </cols>
  <sheetData>
    <row r="1" ht="30" customHeight="1">
      <c r="A1" s="201" t="s">
        <v>3</v>
      </c>
      <c r="B1" s="201"/>
      <c r="C1" s="201"/>
      <c r="D1" s="201"/>
      <c r="E1" s="201"/>
      <c r="F1" s="201"/>
      <c r="G1" s="201"/>
      <c r="I1" s="166"/>
      <c r="J1" s="167"/>
      <c r="K1" s="204" t="s">
        <v>4</v>
      </c>
      <c r="L1" s="205"/>
      <c r="M1" s="206"/>
      <c r="N1" s="204" t="s">
        <v>5</v>
      </c>
      <c r="O1" s="205"/>
      <c r="P1" s="206"/>
    </row>
    <row r="2" ht="30" customHeight="1">
      <c r="A2" s="207" t="s">
        <v>6</v>
      </c>
      <c r="B2" s="79">
        <v>5</v>
      </c>
      <c r="C2" s="184"/>
      <c r="D2" s="183"/>
      <c r="E2" s="191"/>
      <c r="F2" s="191"/>
      <c r="G2" s="191"/>
      <c r="I2" s="129" t="s">
        <v>0</v>
      </c>
      <c r="J2" s="157" t="s">
        <v>1</v>
      </c>
      <c r="K2" s="130" t="s">
        <v>7</v>
      </c>
      <c r="L2" s="157" t="s">
        <v>8</v>
      </c>
      <c r="M2" s="157" t="s">
        <v>2</v>
      </c>
      <c r="N2" s="130" t="s">
        <v>7</v>
      </c>
      <c r="O2" s="157" t="s">
        <v>8</v>
      </c>
      <c r="P2" s="157" t="s">
        <v>2</v>
      </c>
    </row>
    <row r="3" ht="30" customHeight="1">
      <c r="A3" s="207"/>
      <c r="B3" s="79">
        <v>4</v>
      </c>
      <c r="C3" s="188"/>
      <c r="D3" s="185"/>
      <c r="E3" s="183"/>
      <c r="F3" s="191">
        <v>1</v>
      </c>
      <c r="G3" s="191"/>
      <c r="I3" s="240">
        <f>'RiskRegisterWithScope'!$A$5</f>
      </c>
      <c r="J3" s="241">
        <f>'RiskRegisterWithScope'!$B$5</f>
      </c>
      <c r="K3" s="240">
        <f>INT('RiskRegisterWithScope'!$H$5)</f>
      </c>
      <c r="L3" s="240">
        <f>INT('RiskRegisterWithScope'!$I$5)</f>
      </c>
      <c r="M3" s="240">
        <f>=K3*L3</f>
      </c>
      <c r="N3" s="240">
        <f>'RiskRegisterWithScope'!$K$5</f>
      </c>
      <c r="O3" s="240">
        <f>'RiskRegisterWithScope'!$L$5</f>
      </c>
      <c r="P3" s="240">
        <f>=N3*O3</f>
      </c>
    </row>
    <row r="4" ht="30" customHeight="1">
      <c r="A4" s="207"/>
      <c r="B4" s="79">
        <v>3</v>
      </c>
      <c r="C4" s="189"/>
      <c r="D4" s="188"/>
      <c r="E4" s="185">
        <v>1</v>
      </c>
      <c r="F4" s="183">
        <v>1</v>
      </c>
      <c r="G4" s="191"/>
      <c r="I4" s="240">
        <f>'RiskRegisterWithScope'!$A$6</f>
      </c>
      <c r="J4" s="241">
        <f>'RiskRegisterWithScope'!$B$6</f>
      </c>
      <c r="K4" s="240">
        <f>INT('RiskRegisterWithScope'!$H$6)</f>
      </c>
      <c r="L4" s="240">
        <f>INT('RiskRegisterWithScope'!$I$6)</f>
      </c>
      <c r="M4" s="240">
        <f>=K4*L4</f>
      </c>
      <c r="N4" s="240">
        <f>'RiskRegisterWithScope'!$K$6</f>
      </c>
      <c r="O4" s="240">
        <f>'RiskRegisterWithScope'!$L$6</f>
      </c>
      <c r="P4" s="240">
        <f>=N4*O4</f>
      </c>
    </row>
    <row r="5" ht="30" customHeight="1">
      <c r="A5" s="207"/>
      <c r="B5" s="79">
        <v>2</v>
      </c>
      <c r="C5" s="190"/>
      <c r="D5" s="189"/>
      <c r="E5" s="188"/>
      <c r="F5" s="184"/>
      <c r="G5" s="191"/>
      <c r="I5" s="240">
        <f>'RiskRegisterWithScope'!$A$7</f>
      </c>
      <c r="J5" s="241">
        <f>'RiskRegisterWithScope'!$B$7</f>
      </c>
      <c r="K5" s="240">
        <f>INT('RiskRegisterWithScope'!$H$7)</f>
      </c>
      <c r="L5" s="240">
        <f>INT('RiskRegisterWithScope'!$I$7)</f>
      </c>
      <c r="M5" s="240">
        <f>=K5*L5</f>
      </c>
      <c r="N5" s="240">
        <f>'RiskRegisterWithScope'!$K$7</f>
      </c>
      <c r="O5" s="240">
        <f>'RiskRegisterWithScope'!$L$7</f>
      </c>
      <c r="P5" s="240">
        <f>=N5*O5</f>
      </c>
    </row>
    <row r="6" ht="30" customHeight="1">
      <c r="A6" s="207"/>
      <c r="B6" s="79">
        <v>1</v>
      </c>
      <c r="C6" s="190"/>
      <c r="D6" s="190"/>
      <c r="E6" s="189"/>
      <c r="F6" s="184"/>
      <c r="G6" s="183"/>
    </row>
    <row r="7" ht="30" customHeight="1">
      <c r="A7" s="207"/>
      <c r="B7" s="77"/>
      <c r="C7" s="79">
        <v>1</v>
      </c>
      <c r="D7" s="79">
        <v>2</v>
      </c>
      <c r="E7" s="79">
        <v>3</v>
      </c>
      <c r="F7" s="79">
        <v>4</v>
      </c>
      <c r="G7" s="79">
        <v>5</v>
      </c>
    </row>
    <row r="8" ht="30" customHeight="1">
      <c r="A8" s="80"/>
      <c r="B8" s="203" t="s">
        <v>9</v>
      </c>
      <c r="C8" s="203"/>
      <c r="D8" s="203"/>
      <c r="E8" s="203"/>
      <c r="F8" s="203"/>
      <c r="G8" s="203"/>
    </row>
    <row r="9" ht="30" customHeight="1">
      <c r="A9" s="201" t="s">
        <v>10</v>
      </c>
      <c r="B9" s="201"/>
      <c r="C9" s="201"/>
      <c r="D9" s="201"/>
      <c r="E9" s="201"/>
      <c r="F9" s="201"/>
      <c r="G9" s="201"/>
    </row>
    <row r="10" ht="30" customHeight="1">
      <c r="A10" s="202" t="s">
        <v>6</v>
      </c>
      <c r="B10" s="79">
        <v>5</v>
      </c>
      <c r="C10" s="186"/>
      <c r="D10" s="183"/>
      <c r="E10" s="191"/>
      <c r="F10" s="191"/>
      <c r="G10" s="191"/>
    </row>
    <row r="11" ht="30" customHeight="1">
      <c r="A11" s="202"/>
      <c r="B11" s="79">
        <v>4</v>
      </c>
      <c r="C11" s="188">
        <v>1</v>
      </c>
      <c r="D11" s="186"/>
      <c r="E11" s="183"/>
      <c r="F11" s="191"/>
      <c r="G11" s="191"/>
    </row>
    <row r="12" ht="30" customHeight="1">
      <c r="A12" s="202"/>
      <c r="B12" s="79">
        <v>3</v>
      </c>
      <c r="C12" s="189"/>
      <c r="D12" s="188">
        <v>1</v>
      </c>
      <c r="E12" s="187"/>
      <c r="F12" s="183"/>
      <c r="G12" s="191"/>
    </row>
    <row r="13" ht="30" customHeight="1">
      <c r="A13" s="202"/>
      <c r="B13" s="79">
        <v>2</v>
      </c>
      <c r="C13" s="190"/>
      <c r="D13" s="189"/>
      <c r="E13" s="188"/>
      <c r="F13" s="186"/>
      <c r="G13" s="191"/>
    </row>
    <row r="14" ht="30" customHeight="1">
      <c r="A14" s="202"/>
      <c r="B14" s="79">
        <v>1</v>
      </c>
      <c r="C14" s="190"/>
      <c r="D14" s="190"/>
      <c r="E14" s="189"/>
      <c r="F14" s="186">
        <v>1</v>
      </c>
      <c r="G14" s="183"/>
    </row>
    <row r="15" ht="30" customHeight="1">
      <c r="A15" s="202"/>
      <c r="B15" s="78"/>
      <c r="C15" s="79">
        <v>1</v>
      </c>
      <c r="D15" s="79">
        <v>2</v>
      </c>
      <c r="E15" s="79">
        <v>3</v>
      </c>
      <c r="F15" s="79">
        <v>4</v>
      </c>
      <c r="G15" s="79">
        <v>5</v>
      </c>
    </row>
    <row r="16" ht="30" customHeight="1">
      <c r="A16" s="80"/>
      <c r="B16" s="203" t="s">
        <v>9</v>
      </c>
      <c r="C16" s="203"/>
      <c r="D16" s="203"/>
      <c r="E16" s="203"/>
      <c r="F16" s="203"/>
      <c r="G16" s="203"/>
    </row>
  </sheetData>
  <mergeCells>
    <mergeCell ref="A9:G9"/>
    <mergeCell ref="A10:A15"/>
    <mergeCell ref="B16:G16"/>
    <mergeCell ref="K1:M1"/>
    <mergeCell ref="N1:P1"/>
    <mergeCell ref="A1:G1"/>
    <mergeCell ref="A2:A7"/>
    <mergeCell ref="B8:G8"/>
  </mergeCells>
  <conditionalFormatting sqref="K3:L5">
    <cfRule priority="1" type="cellIs" operator="equal" dxfId="1">
      <formula>5</formula>
    </cfRule>
    <cfRule priority="2" type="cellIs" operator="equal" dxfId="2">
      <formula>4</formula>
    </cfRule>
    <cfRule priority="3" type="cellIs" operator="equal" dxfId="3">
      <formula>3</formula>
    </cfRule>
    <cfRule priority="4" type="cellIs" operator="equal" dxfId="4">
      <formula>2</formula>
    </cfRule>
    <cfRule priority="5" type="cellIs" operator="equal" dxfId="5">
      <formula>1</formula>
    </cfRule>
  </conditionalFormatting>
  <conditionalFormatting sqref="N3:O5">
    <cfRule priority="6" type="cellIs" operator="equal" dxfId="1">
      <formula>5</formula>
    </cfRule>
    <cfRule priority="7" type="cellIs" operator="equal" dxfId="2">
      <formula>4</formula>
    </cfRule>
    <cfRule priority="8" type="cellIs" operator="equal" dxfId="3">
      <formula>3</formula>
    </cfRule>
    <cfRule priority="9" type="cellIs" operator="equal" dxfId="4">
      <formula>2</formula>
    </cfRule>
    <cfRule priority="10" type="cellIs" operator="equal" dxfId="5">
      <formula>1</formula>
    </cfRule>
  </conditionalFormatting>
  <pageMargins left="0.7" right="0.7" top="0.75" bottom="0.75" header="0.3" footer="0.3"/>
  <pageSetup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M46"/>
  <sheetViews>
    <sheetView workbookViewId="0">
      <selection activeCell="I16" sqref="I16"/>
    </sheetView>
  </sheetViews>
  <sheetFormatPr defaultColWidth="9.109375" defaultRowHeight="13.2" x14ac:dyDescent="0.25"/>
  <cols>
    <col min="1" max="1" width="2" customWidth="1" style="76"/>
    <col min="2" max="2" width="6.6640625" customWidth="1" style="76"/>
    <col min="3" max="3" width="9.109375" customWidth="1" style="76"/>
    <col min="4" max="4" width="9.109375" customWidth="1" style="76"/>
    <col min="5" max="5" width="9.109375" customWidth="1" style="76"/>
    <col min="6" max="6" width="9.109375" customWidth="1" style="76"/>
    <col min="7" max="7" width="9.109375" customWidth="1" style="76"/>
    <col min="8" max="8" width="9.109375" customWidth="1" style="76"/>
    <col min="9" max="9" width="22.88671875" customWidth="1" style="76"/>
    <col min="10" max="10" width="1.33203125" customWidth="1" style="76"/>
    <col min="11" max="11" bestFit="1" width="23.5546875" customWidth="1" style="76"/>
    <col min="12" max="12" bestFit="1" width="13.88671875" customWidth="1" style="85"/>
    <col min="13" max="13" bestFit="1" width="17" customWidth="1" style="85"/>
    <col min="14" max="14" bestFit="1" width="16" customWidth="1" style="85"/>
    <col min="15" max="15" bestFit="1" width="15" customWidth="1" style="85"/>
    <col min="16" max="16" bestFit="1" width="11.6640625" customWidth="1" style="85"/>
    <col min="17" max="17" bestFit="1" width="13" customWidth="1" style="85"/>
    <col min="18" max="16384" width="9.109375" customWidth="1" style="76"/>
  </cols>
  <sheetData>
    <row r="1">
      <c r="K1" s="82"/>
      <c r="L1" s="83"/>
      <c r="M1" s="83"/>
      <c r="N1" s="83"/>
      <c r="O1" s="83"/>
      <c r="P1" s="83"/>
      <c r="Q1" s="83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</row>
    <row r="2">
      <c r="K2" s="82"/>
      <c r="L2" s="83"/>
      <c r="M2" s="83"/>
      <c r="N2" s="83"/>
      <c r="O2" s="83"/>
      <c r="P2" s="83"/>
      <c r="Q2" s="83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  <c r="AE2" s="82"/>
      <c r="AF2" s="82"/>
      <c r="AG2" s="82"/>
      <c r="AH2" s="82"/>
      <c r="AI2" s="82"/>
      <c r="AJ2" s="82"/>
      <c r="AK2" s="82"/>
      <c r="AL2" s="82"/>
      <c r="AM2" s="82"/>
    </row>
    <row r="3">
      <c r="K3" s="82"/>
      <c r="L3" s="83"/>
      <c r="M3" s="83"/>
      <c r="N3" s="83"/>
      <c r="O3" s="83"/>
      <c r="P3" s="83"/>
      <c r="Q3" s="83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</row>
    <row r="4">
      <c r="K4" s="246" t="s">
        <v>11</v>
      </c>
      <c r="L4" s="248" t="s">
        <v>12</v>
      </c>
      <c r="M4" s="248" t="s">
        <v>13</v>
      </c>
      <c r="N4" s="248" t="s">
        <v>14</v>
      </c>
      <c r="O4" s="248" t="s">
        <v>15</v>
      </c>
      <c r="P4" s="248" t="s">
        <v>16</v>
      </c>
      <c r="Q4" s="82"/>
      <c r="R4" s="82"/>
      <c r="S4" s="82"/>
      <c r="T4" s="82"/>
      <c r="U4" s="82"/>
      <c r="V4" s="82"/>
      <c r="W4" s="82"/>
      <c r="X4" s="82"/>
      <c r="Y4" s="82"/>
      <c r="Z4" s="82"/>
      <c r="AA4" s="82"/>
      <c r="AB4" s="82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</row>
    <row r="5">
      <c r="K5" s="247" t="s">
        <v>17</v>
      </c>
      <c r="L5" s="249">
        <f>=SUM(COUNTIFS(RiskRegisterWithScope!$C$5:C$7,K5,RiskRegisterWithScope!$J$5:J7,{"15","16","17","18","19","20","21","22","23","24","25"}))</f>
      </c>
      <c r="M5" s="249">
        <f>=SUM(COUNTIFS(RiskRegisterWithScope!$C$5:C$7,K5,RiskRegisterWithScope!$J$5:J7,{"10","11","12","13","14"}))</f>
      </c>
      <c r="N5" s="249">
        <f>=SUM(COUNTIFS(RiskRegisterWithScope!$C$5:C$7,K5,RiskRegisterWithScope!$J$5:J7,{"7","8","9"}))</f>
      </c>
      <c r="O5" s="249">
        <f>=SUM(COUNTIFS(RiskRegisterWithScope!$C$5:C$7,K5,RiskRegisterWithScope!$J$5:J7,{"1","2","3","4","5","6"}))</f>
      </c>
      <c r="P5" s="249">
        <f>=SUM(L5,M5,N5,O5)</f>
      </c>
      <c r="Q5" s="82"/>
      <c r="R5" s="83"/>
      <c r="S5" s="83"/>
      <c r="T5" s="83"/>
      <c r="U5" s="83"/>
      <c r="V5" s="83"/>
      <c r="W5" s="83"/>
      <c r="X5" s="83"/>
      <c r="Y5" s="83"/>
      <c r="Z5" s="83"/>
      <c r="AA5" s="83"/>
      <c r="AB5" s="82"/>
      <c r="AC5" s="83"/>
      <c r="AD5" s="83"/>
      <c r="AE5" s="83"/>
      <c r="AF5" s="83"/>
      <c r="AG5" s="83"/>
      <c r="AH5" s="83"/>
      <c r="AI5" s="83"/>
      <c r="AJ5" s="83"/>
      <c r="AK5" s="83"/>
      <c r="AL5" s="83"/>
      <c r="AM5" s="82"/>
    </row>
    <row r="6">
      <c r="K6" s="247" t="s">
        <v>18</v>
      </c>
      <c r="L6" s="249">
        <f>=SUM(COUNTIFS(RiskRegisterWithScope!$C$5:C$7,K6,RiskRegisterWithScope!$J$5:J7,{"15","16","17","18","19","20","21","22","23","24","25"}))</f>
      </c>
      <c r="M6" s="249">
        <f>=SUM(COUNTIFS(RiskRegisterWithScope!$C$5:C$7,K6,RiskRegisterWithScope!$J$5:J7,{"10","11","12","13","14"}))</f>
      </c>
      <c r="N6" s="249">
        <f>=SUM(COUNTIFS(RiskRegisterWithScope!$C$5:C$7,K6,RiskRegisterWithScope!$J$5:J7,{"7","8","9"}))</f>
      </c>
      <c r="O6" s="249">
        <f>=SUM(COUNTIFS(RiskRegisterWithScope!$C$5:C$7,K6,RiskRegisterWithScope!$J$5:J7,{"1","2","3","4","5","6"}))</f>
      </c>
      <c r="P6" s="249">
        <f>=SUM(L6,M6,N6,O6)</f>
      </c>
      <c r="Q6" s="82"/>
      <c r="R6" s="83"/>
      <c r="S6" s="83"/>
      <c r="T6" s="83"/>
      <c r="U6" s="83"/>
      <c r="V6" s="83"/>
      <c r="W6" s="83"/>
      <c r="X6" s="83"/>
      <c r="Y6" s="83"/>
      <c r="Z6" s="83"/>
      <c r="AA6" s="83"/>
      <c r="AB6" s="82"/>
      <c r="AC6" s="83"/>
      <c r="AD6" s="83"/>
      <c r="AE6" s="83"/>
      <c r="AF6" s="83"/>
      <c r="AG6" s="83"/>
      <c r="AH6" s="83"/>
      <c r="AI6" s="83"/>
      <c r="AJ6" s="83"/>
      <c r="AK6" s="83"/>
      <c r="AL6" s="83"/>
      <c r="AM6" s="82"/>
    </row>
    <row r="7" ht="15" customHeight="1">
      <c r="K7" s="247" t="s">
        <v>19</v>
      </c>
      <c r="L7" s="249">
        <f>=SUM(COUNTIFS(RiskRegisterWithScope!$C$5:C$7,K7,RiskRegisterWithScope!$J$5:J7,{"15","16","17","18","19","20","21","22","23","24","25"}))</f>
      </c>
      <c r="M7" s="249">
        <f>=SUM(COUNTIFS(RiskRegisterWithScope!$C$5:C$7,K7,RiskRegisterWithScope!$J$5:J7,{"10","11","12","13","14"}))</f>
      </c>
      <c r="N7" s="249">
        <f>=SUM(COUNTIFS(RiskRegisterWithScope!$C$5:C$7,K7,RiskRegisterWithScope!$J$5:J7,{"7","8","9"}))</f>
      </c>
      <c r="O7" s="249">
        <f>=SUM(COUNTIFS(RiskRegisterWithScope!$C$5:C$7,K7,RiskRegisterWithScope!$J$5:J7,{"1","2","3","4","5","6"}))</f>
      </c>
      <c r="P7" s="249">
        <f>=SUM(L7,M7,N7,O7)</f>
      </c>
      <c r="Q7" s="82"/>
      <c r="R7" s="83"/>
      <c r="S7" s="83"/>
      <c r="T7" s="83"/>
      <c r="U7" s="83"/>
      <c r="V7" s="83"/>
      <c r="W7" s="83"/>
      <c r="X7" s="83"/>
      <c r="Y7" s="83"/>
      <c r="Z7" s="83"/>
      <c r="AA7" s="83"/>
      <c r="AB7" s="82"/>
      <c r="AC7" s="83"/>
      <c r="AD7" s="83"/>
      <c r="AE7" s="83"/>
      <c r="AF7" s="83"/>
      <c r="AG7" s="83"/>
      <c r="AH7" s="83"/>
      <c r="AI7" s="83"/>
      <c r="AJ7" s="83"/>
      <c r="AK7" s="83"/>
      <c r="AL7" s="83"/>
      <c r="AM7" s="82"/>
    </row>
    <row r="8" ht="12.75" customHeight="1">
      <c r="K8" s="246" t="s">
        <v>16</v>
      </c>
      <c r="L8" s="249"/>
      <c r="M8" s="249"/>
      <c r="N8" s="249"/>
      <c r="O8" s="249"/>
      <c r="P8" s="248">
        <f>=SUM(P5,P6,P7)</f>
      </c>
      <c r="Q8" s="82"/>
      <c r="R8" s="83"/>
      <c r="S8" s="83"/>
      <c r="T8" s="83"/>
      <c r="U8" s="83"/>
      <c r="V8" s="83"/>
      <c r="W8" s="83"/>
      <c r="X8" s="83"/>
      <c r="Y8" s="83"/>
      <c r="Z8" s="83"/>
      <c r="AA8" s="83"/>
      <c r="AB8" s="82"/>
      <c r="AC8" s="83"/>
      <c r="AD8" s="83"/>
      <c r="AE8" s="83"/>
      <c r="AF8" s="83"/>
      <c r="AG8" s="83"/>
      <c r="AH8" s="83"/>
      <c r="AI8" s="83"/>
      <c r="AJ8" s="83"/>
      <c r="AK8" s="83"/>
      <c r="AL8" s="83"/>
      <c r="AM8" s="82"/>
    </row>
    <row r="9">
      <c r="K9" s="82"/>
      <c r="L9" s="82"/>
      <c r="M9" s="82"/>
      <c r="N9" s="82"/>
      <c r="O9" s="82"/>
      <c r="P9" s="82"/>
      <c r="Q9" s="82"/>
      <c r="R9" s="83"/>
      <c r="S9" s="83"/>
      <c r="T9" s="83"/>
      <c r="U9" s="83"/>
      <c r="V9" s="83"/>
      <c r="W9" s="83"/>
      <c r="X9" s="83"/>
      <c r="Y9" s="83"/>
      <c r="Z9" s="83"/>
      <c r="AA9" s="83"/>
      <c r="AB9" s="82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2"/>
    </row>
    <row r="10">
      <c r="K10" s="82"/>
      <c r="L10" s="82"/>
      <c r="M10" s="82"/>
      <c r="N10" s="82"/>
      <c r="O10" s="82"/>
      <c r="P10" s="82"/>
      <c r="Q10" s="82"/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2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2"/>
    </row>
    <row r="11">
      <c r="K11" s="82"/>
      <c r="L11" s="82"/>
      <c r="M11" s="82"/>
      <c r="N11" s="82"/>
      <c r="O11" s="82"/>
      <c r="P11" s="82"/>
      <c r="Q11" s="82"/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2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2"/>
    </row>
    <row r="12">
      <c r="K12" s="82"/>
      <c r="L12" s="82"/>
      <c r="M12" s="82"/>
      <c r="N12" s="82"/>
      <c r="O12" s="82"/>
      <c r="P12" s="82"/>
      <c r="Q12" s="82"/>
      <c r="R12" s="83"/>
      <c r="S12" s="83"/>
      <c r="T12" s="83"/>
      <c r="U12" s="83"/>
      <c r="V12" s="83"/>
      <c r="W12" s="83"/>
      <c r="X12" s="83"/>
      <c r="Y12" s="83"/>
      <c r="Z12" s="83"/>
      <c r="AA12" s="83"/>
      <c r="AB12" s="82"/>
      <c r="AC12" s="83"/>
      <c r="AD12" s="83"/>
      <c r="AE12" s="83"/>
      <c r="AF12" s="83"/>
      <c r="AG12" s="83"/>
      <c r="AH12" s="83"/>
      <c r="AI12" s="83"/>
      <c r="AJ12" s="83"/>
      <c r="AK12" s="83"/>
      <c r="AL12" s="83"/>
      <c r="AM12" s="82"/>
    </row>
    <row r="13" ht="12.75" customHeight="1">
      <c r="K13" s="82"/>
      <c r="L13" s="82"/>
      <c r="M13" s="82"/>
      <c r="N13" s="82"/>
      <c r="O13" s="82"/>
      <c r="P13" s="82"/>
      <c r="Q13" s="82"/>
      <c r="R13" s="83"/>
      <c r="S13" s="83"/>
      <c r="T13" s="83"/>
      <c r="U13" s="83"/>
      <c r="V13" s="83"/>
      <c r="W13" s="83"/>
      <c r="X13" s="83"/>
      <c r="Y13" s="83"/>
      <c r="Z13" s="83"/>
      <c r="AA13" s="83"/>
      <c r="AB13" s="82"/>
      <c r="AC13" s="83"/>
      <c r="AD13" s="83"/>
      <c r="AE13" s="83"/>
      <c r="AF13" s="83"/>
      <c r="AG13" s="83"/>
      <c r="AH13" s="83"/>
      <c r="AI13" s="83"/>
      <c r="AJ13" s="83"/>
      <c r="AK13" s="83"/>
      <c r="AL13" s="83"/>
      <c r="AM13" s="82"/>
    </row>
    <row r="14">
      <c r="K14" s="82"/>
      <c r="L14" s="82"/>
      <c r="M14" s="82"/>
      <c r="N14" s="82"/>
      <c r="O14" s="82"/>
      <c r="P14" s="82"/>
      <c r="Q14" s="82"/>
      <c r="R14" s="83"/>
      <c r="S14" s="83"/>
      <c r="T14" s="83"/>
      <c r="U14" s="83"/>
      <c r="V14" s="83"/>
      <c r="W14" s="83"/>
      <c r="X14" s="83"/>
      <c r="Y14" s="83"/>
      <c r="Z14" s="83"/>
      <c r="AA14" s="83"/>
      <c r="AB14" s="82"/>
      <c r="AC14" s="83"/>
      <c r="AD14" s="83"/>
      <c r="AE14" s="83"/>
      <c r="AF14" s="83"/>
      <c r="AG14" s="83"/>
      <c r="AH14" s="83"/>
      <c r="AI14" s="83"/>
      <c r="AJ14" s="83"/>
      <c r="AK14" s="83"/>
      <c r="AL14" s="83"/>
      <c r="AM14" s="82"/>
    </row>
    <row r="15">
      <c r="K15" s="82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83"/>
      <c r="Y15" s="83"/>
      <c r="Z15" s="83"/>
      <c r="AA15" s="83"/>
      <c r="AB15" s="82"/>
      <c r="AC15" s="83"/>
      <c r="AD15" s="83"/>
      <c r="AE15" s="83"/>
      <c r="AF15" s="83"/>
      <c r="AG15" s="83"/>
      <c r="AH15" s="83"/>
      <c r="AI15" s="83"/>
      <c r="AJ15" s="83"/>
      <c r="AK15" s="83"/>
      <c r="AL15" s="83"/>
      <c r="AM15" s="82"/>
    </row>
    <row r="16">
      <c r="K16" s="82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2"/>
      <c r="AC16" s="83"/>
      <c r="AD16" s="83"/>
      <c r="AE16" s="83"/>
      <c r="AF16" s="83"/>
      <c r="AG16" s="83"/>
      <c r="AH16" s="83"/>
      <c r="AI16" s="83"/>
      <c r="AJ16" s="83"/>
      <c r="AK16" s="83"/>
      <c r="AL16" s="83"/>
      <c r="AM16" s="82"/>
    </row>
    <row r="17">
      <c r="K17" s="82"/>
      <c r="L17" s="83"/>
      <c r="M17" s="88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82"/>
      <c r="AC17" s="83"/>
      <c r="AD17" s="83"/>
      <c r="AE17" s="83"/>
      <c r="AF17" s="83"/>
      <c r="AG17" s="83"/>
      <c r="AH17" s="83"/>
      <c r="AI17" s="83"/>
      <c r="AJ17" s="83"/>
      <c r="AK17" s="83"/>
      <c r="AL17" s="83"/>
      <c r="AM17" s="82"/>
    </row>
    <row r="18">
      <c r="K18" s="81"/>
      <c r="L18" s="83"/>
      <c r="M18" s="88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2"/>
      <c r="AC18" s="83"/>
      <c r="AD18" s="83"/>
      <c r="AE18" s="83"/>
      <c r="AF18" s="83"/>
      <c r="AG18" s="83"/>
      <c r="AH18" s="83"/>
      <c r="AI18" s="83"/>
      <c r="AJ18" s="83"/>
      <c r="AK18" s="83"/>
      <c r="AL18" s="83"/>
      <c r="AM18" s="82"/>
    </row>
    <row r="19">
      <c r="K19" s="81"/>
      <c r="L19" s="83"/>
      <c r="M19" s="88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2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82"/>
    </row>
    <row r="20">
      <c r="K20" s="87"/>
      <c r="L20" s="83"/>
      <c r="M20" s="88"/>
      <c r="N20" s="83"/>
      <c r="O20" s="83"/>
      <c r="P20" s="83"/>
      <c r="Q20" s="83"/>
      <c r="R20" s="83"/>
      <c r="S20" s="83"/>
      <c r="T20" s="83"/>
      <c r="U20" s="83"/>
      <c r="V20" s="83"/>
      <c r="W20" s="83"/>
      <c r="X20" s="83"/>
      <c r="Y20" s="83"/>
      <c r="Z20" s="83"/>
      <c r="AA20" s="83"/>
      <c r="AB20" s="82"/>
      <c r="AC20" s="83"/>
      <c r="AD20" s="83"/>
      <c r="AE20" s="83"/>
      <c r="AF20" s="83"/>
      <c r="AG20" s="83"/>
      <c r="AH20" s="83"/>
      <c r="AI20" s="83"/>
      <c r="AJ20" s="83"/>
      <c r="AK20" s="83"/>
      <c r="AL20" s="83"/>
      <c r="AM20" s="82"/>
    </row>
    <row r="21">
      <c r="K21" s="87"/>
      <c r="L21" s="83"/>
      <c r="M21" s="88"/>
      <c r="N21" s="83"/>
      <c r="O21" s="76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2"/>
      <c r="AC21" s="83"/>
      <c r="AD21" s="83"/>
      <c r="AE21" s="83"/>
      <c r="AF21" s="83"/>
      <c r="AG21" s="83"/>
      <c r="AH21" s="83"/>
      <c r="AI21" s="83"/>
      <c r="AJ21" s="83"/>
      <c r="AK21" s="83"/>
      <c r="AL21" s="83"/>
      <c r="AM21" s="82"/>
    </row>
    <row r="22">
      <c r="K22" s="87"/>
      <c r="L22" s="83"/>
      <c r="M22" s="88"/>
      <c r="N22" s="83"/>
      <c r="O22" s="76"/>
      <c r="P22" s="83"/>
      <c r="Q22" s="83"/>
      <c r="R22" s="83"/>
      <c r="S22" s="83"/>
      <c r="T22" s="83"/>
      <c r="U22" s="83"/>
      <c r="V22" s="83"/>
      <c r="W22" s="83"/>
      <c r="X22" s="83"/>
      <c r="Y22" s="83"/>
      <c r="Z22" s="83"/>
      <c r="AA22" s="83"/>
      <c r="AB22" s="82"/>
      <c r="AC22" s="83"/>
      <c r="AD22" s="83"/>
      <c r="AE22" s="83"/>
      <c r="AF22" s="83"/>
      <c r="AG22" s="83"/>
      <c r="AH22" s="83"/>
      <c r="AI22" s="83"/>
      <c r="AJ22" s="83"/>
      <c r="AK22" s="83"/>
      <c r="AL22" s="83"/>
      <c r="AM22" s="82"/>
    </row>
    <row r="23">
      <c r="K23" s="87"/>
      <c r="L23" s="83"/>
      <c r="M23" s="88"/>
      <c r="N23" s="83"/>
      <c r="P23" s="76"/>
      <c r="Q23" s="83"/>
      <c r="R23" s="83"/>
      <c r="S23" s="83"/>
      <c r="T23" s="83"/>
      <c r="U23" s="83"/>
      <c r="V23" s="83"/>
      <c r="W23" s="83"/>
      <c r="X23" s="83"/>
      <c r="Y23" s="83"/>
      <c r="Z23" s="83"/>
      <c r="AA23" s="83"/>
      <c r="AB23" s="82"/>
      <c r="AC23" s="83"/>
      <c r="AD23" s="83"/>
      <c r="AE23" s="83"/>
      <c r="AF23" s="83"/>
      <c r="AG23" s="83"/>
      <c r="AH23" s="83"/>
      <c r="AI23" s="83"/>
      <c r="AJ23" s="83"/>
      <c r="AK23" s="83"/>
      <c r="AL23" s="83"/>
      <c r="AM23" s="82"/>
    </row>
    <row r="24">
      <c r="K24" s="87"/>
      <c r="L24" s="83"/>
      <c r="M24" s="88"/>
      <c r="N24" s="83"/>
      <c r="O24" s="76"/>
      <c r="P24" s="76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2"/>
      <c r="AC24" s="83"/>
      <c r="AD24" s="83"/>
      <c r="AE24" s="83"/>
      <c r="AF24" s="83"/>
      <c r="AG24" s="83"/>
      <c r="AH24" s="83"/>
      <c r="AI24" s="83"/>
      <c r="AJ24" s="83"/>
      <c r="AK24" s="83"/>
      <c r="AL24" s="83"/>
      <c r="AM24" s="82"/>
    </row>
    <row r="25">
      <c r="K25" s="87"/>
      <c r="L25" s="83"/>
      <c r="M25" s="88"/>
      <c r="N25" s="83"/>
      <c r="O25" s="76"/>
      <c r="P25" s="76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2"/>
      <c r="AC25" s="83"/>
      <c r="AD25" s="83"/>
      <c r="AE25" s="83"/>
      <c r="AF25" s="83"/>
      <c r="AG25" s="83"/>
      <c r="AH25" s="83"/>
      <c r="AI25" s="83"/>
      <c r="AJ25" s="83"/>
      <c r="AK25" s="83"/>
      <c r="AL25" s="83"/>
      <c r="AM25" s="82"/>
    </row>
    <row r="26">
      <c r="K26" s="87"/>
      <c r="L26" s="83"/>
      <c r="M26" s="88"/>
      <c r="N26" s="83"/>
      <c r="O26" s="76"/>
      <c r="P26" s="76"/>
      <c r="Q26" s="83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</row>
    <row r="27">
      <c r="K27" s="86"/>
      <c r="L27" s="83"/>
      <c r="M27" s="88"/>
      <c r="N27" s="83"/>
      <c r="O27" s="76"/>
      <c r="P27" s="76"/>
      <c r="Q27" s="83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</row>
    <row r="28">
      <c r="K28" s="86"/>
      <c r="L28" s="83"/>
      <c r="M28" s="88"/>
      <c r="N28" s="83"/>
      <c r="O28" s="76"/>
      <c r="P28" s="76"/>
      <c r="Q28" s="83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</row>
    <row r="29" ht="14.4">
      <c r="K29" s="86"/>
      <c r="L29" s="83"/>
      <c r="M29" s="88"/>
      <c r="N29" s="83"/>
      <c r="O29" s="76"/>
      <c r="P29" s="76"/>
      <c r="Q29" s="83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</row>
    <row r="30" ht="14.4">
      <c r="K30" s="86"/>
      <c r="L30" s="83"/>
      <c r="M30" s="88"/>
      <c r="N30" s="83"/>
      <c r="O30" s="76"/>
      <c r="P30" s="76"/>
      <c r="Q30" s="83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</row>
    <row r="31" ht="14.4">
      <c r="K31" s="86"/>
      <c r="L31" s="83"/>
      <c r="M31" s="88"/>
      <c r="N31" s="83"/>
      <c r="O31" s="76"/>
      <c r="P31" s="76"/>
      <c r="Q31" s="84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</row>
    <row r="32" ht="14.4">
      <c r="K32" s="86"/>
      <c r="L32" s="83"/>
      <c r="M32" s="88"/>
      <c r="N32" s="83"/>
      <c r="O32" s="76"/>
      <c r="P32" s="76"/>
      <c r="Q32" s="84"/>
    </row>
    <row r="33" ht="12.75" customHeight="1">
      <c r="K33" s="86"/>
      <c r="L33" s="83"/>
      <c r="M33" s="88"/>
      <c r="N33" s="83"/>
      <c r="O33" s="76"/>
      <c r="P33" s="76"/>
    </row>
    <row r="34">
      <c r="K34" s="86"/>
      <c r="L34" s="83"/>
      <c r="M34" s="88"/>
      <c r="N34" s="83"/>
      <c r="O34" s="76"/>
      <c r="P34" s="76"/>
    </row>
    <row r="35">
      <c r="K35" s="86"/>
      <c r="L35" s="83"/>
      <c r="M35" s="88"/>
      <c r="N35" s="83"/>
      <c r="O35" s="76"/>
      <c r="P35" s="76"/>
    </row>
    <row r="36">
      <c r="K36" s="86"/>
      <c r="L36" s="83"/>
      <c r="M36" s="88"/>
      <c r="N36" s="83"/>
      <c r="O36" s="76"/>
      <c r="P36" s="76"/>
    </row>
    <row r="37">
      <c r="K37" s="86"/>
      <c r="L37" s="83"/>
      <c r="M37" s="88"/>
      <c r="N37" s="83"/>
      <c r="O37" s="76"/>
    </row>
    <row r="38">
      <c r="K38" s="86"/>
      <c r="L38" s="83"/>
      <c r="M38" s="88"/>
      <c r="N38" s="83"/>
      <c r="O38" s="76"/>
    </row>
    <row r="39">
      <c r="K39" s="86"/>
      <c r="L39" s="83"/>
      <c r="M39" s="88"/>
      <c r="N39" s="83"/>
      <c r="O39" s="76"/>
    </row>
    <row r="40">
      <c r="K40" s="86"/>
      <c r="L40" s="83"/>
      <c r="M40" s="88"/>
      <c r="N40" s="83"/>
      <c r="O40" s="76"/>
    </row>
    <row r="41">
      <c r="K41" s="86"/>
      <c r="L41" s="83"/>
      <c r="M41" s="88"/>
      <c r="N41" s="83"/>
      <c r="O41" s="76"/>
    </row>
    <row r="42">
      <c r="K42" s="86"/>
      <c r="L42" s="83"/>
      <c r="M42" s="88"/>
      <c r="N42" s="83"/>
      <c r="O42" s="76"/>
    </row>
    <row r="43">
      <c r="K43" s="86"/>
      <c r="L43" s="83"/>
      <c r="M43" s="88"/>
      <c r="N43" s="83"/>
    </row>
    <row r="44">
      <c r="L44" s="83"/>
      <c r="M44" s="88"/>
      <c r="N44" s="83"/>
    </row>
    <row r="45">
      <c r="L45" s="83"/>
      <c r="M45" s="88"/>
      <c r="N45" s="83"/>
    </row>
    <row r="46">
      <c r="M46" s="88"/>
      <c r="N46" s="83"/>
    </row>
  </sheetData>
  <pageMargins left="0.7" right="0.7" top="0.75" bottom="0.75" header="0.3" footer="0.3"/>
  <pageSetup orientation="portrait"/>
  <headerFooter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F28"/>
  <sheetViews>
    <sheetView workbookViewId="0">
      <selection activeCell="C1" sqref="C1"/>
    </sheetView>
  </sheetViews>
  <sheetFormatPr defaultRowHeight="13.2" x14ac:dyDescent="0.25"/>
  <cols>
    <col min="1" max="1" width="4.88671875" customWidth="1"/>
    <col min="2" max="2" width="44.5546875" customWidth="1" style="161"/>
    <col min="3" max="3" width="98.88671875" customWidth="1" style="164"/>
    <col min="4" max="4" width="9.109375" customWidth="1" style="165"/>
    <col min="6" max="6" width="9.109375" customWidth="1" style="124"/>
  </cols>
  <sheetData>
    <row r="1">
      <c r="A1" s="131" t="s">
        <v>0</v>
      </c>
      <c r="B1" s="158" t="s">
        <v>1</v>
      </c>
      <c r="C1" s="162" t="str">
        <f>'RISKREGISTERWITHSCOPE'!D4</f>
        <v>Underlying Vulnerabilities</v>
      </c>
      <c r="D1" s="131" t="s">
        <v>2</v>
      </c>
    </row>
    <row r="2" ht="50" customHeight="1" s="0" customFormat="1">
      <c r="A2" s="244">
        <f>'RiskRegisterWithScope'!$A$5</f>
      </c>
      <c r="B2" s="242">
        <f>'RiskRegisterWithScope'!$B$5</f>
      </c>
      <c r="C2" s="245">
        <f>=IF('RiskRegisterWithScope'!$D$5&lt;&gt;"",'RiskRegisterWithScope'!$D$5,"")</f>
      </c>
      <c r="D2" s="240">
        <f>'RiskRegisterWithScope'!$J$5</f>
      </c>
      <c r="F2" s="243"/>
    </row>
    <row r="3" ht="50" customHeight="1" s="0" customFormat="1">
      <c r="A3" s="244">
        <f>'RiskRegisterWithScope'!$A$6</f>
      </c>
      <c r="B3" s="245">
        <f>'RiskRegisterWithScope'!$B$6</f>
      </c>
      <c r="C3" s="245">
        <f>=IF('RiskRegisterWithScope'!$D$6&lt;&gt;"",'RiskRegisterWithScope'!$D$6,"")</f>
      </c>
      <c r="D3" s="240">
        <f>'RiskRegisterWithScope'!$J$6</f>
      </c>
      <c r="F3" s="243"/>
    </row>
    <row r="4" ht="50" customHeight="1" s="0" customFormat="1">
      <c r="A4" s="244">
        <f>'RiskRegisterWithScope'!$A$7</f>
      </c>
      <c r="B4" s="245">
        <f>'RiskRegisterWithScope'!$B$7</f>
      </c>
      <c r="C4" s="245">
        <f>=IF('RiskRegisterWithScope'!$D$7&lt;&gt;"",'RiskRegisterWithScope'!$D$7,"")</f>
      </c>
      <c r="D4" s="240">
        <f>'RiskRegisterWithScope'!$J$7</f>
      </c>
      <c r="F4" s="243"/>
    </row>
    <row r="5">
      <c r="A5" s="133"/>
      <c r="B5" s="159"/>
      <c r="C5" s="159"/>
      <c r="F5" s="123"/>
    </row>
    <row r="6">
      <c r="A6" s="132"/>
      <c r="B6" s="159"/>
      <c r="C6" s="159"/>
      <c r="F6" s="123"/>
    </row>
    <row r="7">
      <c r="A7" s="132"/>
      <c r="B7" s="159"/>
      <c r="C7" s="159"/>
      <c r="F7" s="123"/>
    </row>
    <row r="8">
      <c r="A8" s="133"/>
      <c r="B8" s="159"/>
      <c r="C8" s="159"/>
      <c r="F8" s="123"/>
    </row>
    <row r="9">
      <c r="A9" s="132"/>
      <c r="B9" s="159"/>
      <c r="C9" s="159"/>
      <c r="F9" s="123"/>
    </row>
    <row r="10">
      <c r="A10" s="132"/>
      <c r="B10" s="159"/>
      <c r="C10" s="159"/>
    </row>
    <row r="11">
      <c r="A11" s="133"/>
      <c r="B11" s="159"/>
      <c r="C11" s="159"/>
    </row>
    <row r="12">
      <c r="A12" s="133"/>
      <c r="B12" s="159"/>
      <c r="C12" s="159"/>
    </row>
    <row r="13">
      <c r="A13" s="133"/>
      <c r="B13" s="159"/>
      <c r="C13" s="159"/>
    </row>
    <row r="14">
      <c r="A14" s="132"/>
      <c r="B14" s="159"/>
      <c r="C14" s="159"/>
    </row>
    <row r="15">
      <c r="A15" s="133"/>
      <c r="B15" s="159"/>
      <c r="C15" s="159"/>
    </row>
    <row r="16">
      <c r="A16" s="132"/>
      <c r="B16" s="159"/>
      <c r="C16" s="159"/>
    </row>
    <row r="17">
      <c r="A17" s="132"/>
      <c r="B17" s="159"/>
      <c r="C17" s="159"/>
    </row>
    <row r="18">
      <c r="A18" s="132"/>
      <c r="B18" s="159"/>
      <c r="C18" s="159"/>
    </row>
    <row r="19">
      <c r="A19" s="133"/>
      <c r="B19" s="159"/>
      <c r="C19" s="159"/>
    </row>
    <row r="20">
      <c r="A20" s="132"/>
      <c r="B20" s="159"/>
      <c r="C20" s="159"/>
    </row>
    <row r="21">
      <c r="A21" s="132"/>
      <c r="B21" s="159"/>
      <c r="C21" s="159"/>
    </row>
    <row r="22" hidden="1">
      <c r="A22" s="132"/>
      <c r="B22" s="159"/>
      <c r="C22" s="159"/>
    </row>
    <row r="23" hidden="1">
      <c r="A23" s="132"/>
      <c r="B23" s="159"/>
      <c r="C23" s="159"/>
    </row>
    <row r="24" hidden="1">
      <c r="A24" s="132"/>
      <c r="B24" s="159"/>
      <c r="C24" s="159"/>
    </row>
    <row r="25" hidden="1">
      <c r="A25" s="132"/>
      <c r="B25" s="159"/>
      <c r="C25" s="159"/>
    </row>
    <row r="26" hidden="1">
      <c r="A26" s="132"/>
      <c r="B26" s="159"/>
      <c r="C26" s="159"/>
    </row>
    <row r="27" hidden="1">
      <c r="A27" s="132"/>
      <c r="B27" s="159"/>
      <c r="C27" s="159"/>
    </row>
    <row r="28">
      <c r="A28" s="134"/>
      <c r="B28" s="160"/>
      <c r="C28" s="163"/>
    </row>
  </sheetData>
  <autoFilter ref="A1:D1" xr:uid="{00000000-0009-0000-0000-000003000000}">
    <sortState ref="A2:D27">
      <sortCondition descending="1" ref="D1"/>
    </sortState>
  </autoFilter>
  <pageMargins left="0.25" right="0.25" top="0.5" bottom="0.5" header="0.3" footer="0.3"/>
  <pageSetup scale="80" fitToWidth="0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I1770"/>
  <sheetViews>
    <sheetView workbookViewId="0">
      <selection activeCell="A2" sqref="A2"/>
    </sheetView>
  </sheetViews>
  <sheetFormatPr defaultColWidth="9.109375" defaultRowHeight="11.4" x14ac:dyDescent="0.25"/>
  <cols>
    <col min="1" max="1" bestFit="1" width="6.5546875" customWidth="1" style="169"/>
    <col min="2" max="2" bestFit="1" width="60.6640625" customWidth="1" style="94"/>
    <col min="3" max="4" bestFit="1" width="17.33203125" customWidth="1" style="169"/>
    <col min="5" max="5" width="9.109375" customWidth="1" style="94"/>
    <col min="6" max="6" width="9.109375" customWidth="1" style="94"/>
    <col min="7" max="7" bestFit="1" width="11.5546875" customWidth="1" style="94"/>
    <col min="8" max="8" bestFit="1" width="9.88671875" customWidth="1" style="94"/>
    <col min="9" max="9" bestFit="1" width="10.44140625" customWidth="1" style="94"/>
    <col min="10" max="16384" width="9.109375" customWidth="1" style="94"/>
  </cols>
  <sheetData>
    <row r="1" ht="24" customHeight="1" s="93" customFormat="1">
      <c r="A1" s="89" t="s">
        <v>0</v>
      </c>
      <c r="B1" s="90" t="s">
        <v>1</v>
      </c>
      <c r="C1" s="89" t="s">
        <v>34</v>
      </c>
      <c r="D1" s="89" t="s">
        <v>35</v>
      </c>
      <c r="F1" s="126"/>
      <c r="G1" s="126" t="s">
        <v>36</v>
      </c>
      <c r="H1" s="126" t="s">
        <v>37</v>
      </c>
      <c r="I1" s="126" t="s">
        <v>38</v>
      </c>
    </row>
    <row r="2" ht="25" customHeight="1" s="93" customFormat="1">
      <c r="A2" s="165">
        <f>'RiskRegisterWithScope'!$A$5</f>
      </c>
      <c r="B2" s="168">
        <f>'RiskRegisterWithScope'!$B$5</f>
      </c>
      <c r="C2" s="165">
        <f>'RiskRegisterWithScope'!$J$5</f>
      </c>
      <c r="D2" s="165">
        <f>'RiskRegisterWithScope'!$M$5</f>
      </c>
      <c r="F2" s="125" t="s">
        <v>39</v>
      </c>
      <c r="G2" s="127">
        <f>SUM(C2: C4)</f>
      </c>
      <c r="H2" s="127">
        <f>SUM(D2: D4)</f>
      </c>
      <c r="I2" s="128">
        <f>100%-(H2/G2)</f>
      </c>
    </row>
    <row r="3" ht="25" customHeight="1" s="93" customFormat="1">
      <c r="A3" s="165">
        <f>'RiskRegisterWithScope'!$A$6</f>
      </c>
      <c r="B3" s="168">
        <f>'RiskRegisterWithScope'!$B$6</f>
      </c>
      <c r="C3" s="165">
        <f>'RiskRegisterWithScope'!$J$6</f>
      </c>
      <c r="D3" s="165">
        <f>'RiskRegisterWithScope'!$M$6</f>
      </c>
      <c r="F3" s="250"/>
      <c r="G3" s="251"/>
      <c r="H3" s="251"/>
      <c r="I3" s="252"/>
    </row>
    <row r="4" ht="25" customHeight="1" s="93" customFormat="1">
      <c r="A4" s="165">
        <f>'RiskRegisterWithScope'!$A$7</f>
      </c>
      <c r="B4" s="168">
        <f>'RiskRegisterWithScope'!$B$7</f>
      </c>
      <c r="C4" s="165">
        <f>'RiskRegisterWithScope'!$J$7</f>
      </c>
      <c r="D4" s="165">
        <f>'RiskRegisterWithScope'!$M$7</f>
      </c>
    </row>
    <row r="5" ht="18" customHeight="1" s="93" customFormat="1">
      <c r="A5" s="165"/>
      <c r="B5" s="168"/>
      <c r="C5" s="165"/>
      <c r="D5" s="165"/>
    </row>
    <row r="6" ht="18" customHeight="1" s="93" customFormat="1">
      <c r="A6" s="165"/>
      <c r="B6" s="168"/>
      <c r="C6" s="165"/>
      <c r="D6" s="165"/>
    </row>
    <row r="7" ht="18" customHeight="1" s="93" customFormat="1">
      <c r="A7" s="165"/>
      <c r="B7" s="168"/>
      <c r="C7" s="165"/>
      <c r="D7" s="165"/>
    </row>
    <row r="8" ht="18" customHeight="1" s="93" customFormat="1">
      <c r="A8" s="165"/>
      <c r="B8" s="168"/>
      <c r="C8" s="165"/>
      <c r="D8" s="165"/>
    </row>
    <row r="9" ht="18" customHeight="1" s="93" customFormat="1">
      <c r="A9" s="165"/>
      <c r="B9" s="168"/>
      <c r="C9" s="165"/>
      <c r="D9" s="165"/>
    </row>
    <row r="10" ht="18" customHeight="1" s="93" customFormat="1">
      <c r="A10" s="165"/>
      <c r="B10" s="168"/>
      <c r="C10" s="165"/>
      <c r="D10" s="165"/>
    </row>
    <row r="11" ht="18" customHeight="1" s="93" customFormat="1">
      <c r="A11" s="165"/>
      <c r="B11" s="168"/>
      <c r="C11" s="165"/>
      <c r="D11" s="165"/>
    </row>
    <row r="12" ht="18" customHeight="1" s="93" customFormat="1">
      <c r="A12" s="165"/>
      <c r="B12" s="168"/>
      <c r="C12" s="165"/>
      <c r="D12" s="165"/>
    </row>
    <row r="13" ht="18" customHeight="1" s="93" customFormat="1">
      <c r="A13" s="165"/>
      <c r="B13" s="168"/>
      <c r="C13" s="165"/>
      <c r="D13" s="165"/>
    </row>
    <row r="14" ht="18" customHeight="1" s="93" customFormat="1">
      <c r="A14" s="165"/>
      <c r="B14" s="168"/>
      <c r="C14" s="165"/>
      <c r="D14" s="165"/>
    </row>
    <row r="15" ht="13.2" s="93" customFormat="1">
      <c r="A15" s="165"/>
      <c r="B15" s="168"/>
      <c r="C15" s="165"/>
      <c r="D15" s="165"/>
    </row>
    <row r="16" ht="18" customHeight="1" s="93" customFormat="1">
      <c r="A16" s="165"/>
      <c r="B16" s="168"/>
      <c r="C16" s="165"/>
      <c r="D16" s="165"/>
    </row>
    <row r="17" ht="18" customHeight="1" s="93" customFormat="1">
      <c r="A17" s="165"/>
      <c r="B17" s="168"/>
      <c r="C17" s="165"/>
      <c r="D17" s="165"/>
    </row>
    <row r="18" ht="18" customHeight="1" s="93" customFormat="1">
      <c r="A18" s="165"/>
      <c r="B18" s="168"/>
      <c r="C18" s="165"/>
      <c r="D18" s="165"/>
    </row>
    <row r="19" ht="18" customHeight="1" s="93" customFormat="1">
      <c r="A19" s="165"/>
      <c r="B19" s="168"/>
      <c r="C19" s="165"/>
      <c r="D19" s="165"/>
    </row>
    <row r="20" ht="18" customHeight="1" s="93" customFormat="1">
      <c r="A20" s="165"/>
      <c r="B20" s="168"/>
      <c r="C20" s="165"/>
      <c r="D20" s="165"/>
    </row>
    <row r="21" ht="18" customHeight="1" s="93" customFormat="1">
      <c r="A21" s="165"/>
      <c r="B21" s="168"/>
      <c r="C21" s="165"/>
      <c r="D21" s="165"/>
    </row>
    <row r="22" ht="18" customHeight="1" s="93" customFormat="1">
      <c r="A22" s="165"/>
      <c r="B22" s="168"/>
      <c r="C22" s="165"/>
      <c r="D22" s="165"/>
    </row>
    <row r="23" ht="18" customHeight="1" s="93" customFormat="1">
      <c r="A23" s="165"/>
      <c r="B23" s="168"/>
      <c r="C23" s="165"/>
      <c r="D23" s="165"/>
    </row>
    <row r="24" ht="18" customHeight="1" s="93" customFormat="1">
      <c r="A24" s="165"/>
      <c r="B24" s="168"/>
      <c r="C24" s="165"/>
      <c r="D24" s="165"/>
    </row>
    <row r="25" ht="18" customHeight="1" s="93" customFormat="1">
      <c r="A25" s="165"/>
      <c r="B25" s="168"/>
      <c r="C25" s="165"/>
      <c r="D25" s="165"/>
    </row>
    <row r="26" ht="18" customHeight="1" s="93" customFormat="1">
      <c r="A26" s="165"/>
      <c r="B26" s="168"/>
      <c r="C26" s="165"/>
      <c r="D26" s="165"/>
    </row>
    <row r="27" ht="18" customHeight="1" s="93" customFormat="1">
      <c r="A27" s="165"/>
      <c r="B27" s="168"/>
      <c r="C27" s="165"/>
      <c r="D27" s="165"/>
    </row>
    <row r="28" ht="18" customHeight="1" s="93" customFormat="1">
      <c r="A28" s="165"/>
      <c r="B28" s="168"/>
      <c r="C28" s="165"/>
      <c r="D28" s="165"/>
    </row>
    <row r="29" ht="18" customHeight="1" s="93" customFormat="1">
      <c r="A29" s="165"/>
      <c r="B29" s="168"/>
      <c r="C29" s="165"/>
      <c r="D29" s="165"/>
    </row>
    <row r="30" ht="18" customHeight="1" s="93" customFormat="1">
      <c r="A30" s="165"/>
      <c r="B30" s="168"/>
      <c r="C30" s="165"/>
      <c r="D30" s="165"/>
    </row>
    <row r="31" ht="18" customHeight="1" s="93" customFormat="1">
      <c r="A31" s="165"/>
      <c r="B31" s="168"/>
      <c r="C31" s="165"/>
      <c r="D31" s="165"/>
    </row>
    <row r="32" ht="18" customHeight="1">
      <c r="B32" s="170"/>
    </row>
    <row r="33">
      <c r="B33" s="170"/>
    </row>
    <row r="34">
      <c r="B34" s="170"/>
    </row>
    <row r="35">
      <c r="B35" s="170"/>
    </row>
    <row r="36">
      <c r="B36" s="170"/>
    </row>
    <row r="37">
      <c r="B37" s="170"/>
    </row>
    <row r="38">
      <c r="B38" s="170"/>
    </row>
    <row r="39">
      <c r="B39" s="170"/>
    </row>
    <row r="40">
      <c r="B40" s="170"/>
    </row>
    <row r="41">
      <c r="B41" s="170"/>
    </row>
    <row r="42">
      <c r="B42" s="170"/>
    </row>
    <row r="43">
      <c r="B43" s="170"/>
    </row>
    <row r="44">
      <c r="B44" s="170"/>
    </row>
    <row r="45">
      <c r="B45" s="170"/>
    </row>
    <row r="46">
      <c r="B46" s="170"/>
    </row>
    <row r="47">
      <c r="B47" s="170"/>
    </row>
    <row r="48">
      <c r="B48" s="170"/>
    </row>
    <row r="49">
      <c r="B49" s="170"/>
    </row>
    <row r="50">
      <c r="B50" s="170"/>
    </row>
    <row r="51">
      <c r="B51" s="170"/>
    </row>
    <row r="52">
      <c r="B52" s="170"/>
    </row>
    <row r="53">
      <c r="B53" s="170"/>
    </row>
    <row r="54">
      <c r="B54" s="170"/>
    </row>
    <row r="55">
      <c r="B55" s="170"/>
    </row>
    <row r="56">
      <c r="B56" s="170"/>
    </row>
    <row r="57">
      <c r="B57" s="170"/>
    </row>
    <row r="58">
      <c r="B58" s="170"/>
    </row>
    <row r="59">
      <c r="B59" s="170"/>
    </row>
    <row r="60">
      <c r="B60" s="170"/>
    </row>
    <row r="61">
      <c r="B61" s="170"/>
    </row>
    <row r="62">
      <c r="B62" s="170"/>
    </row>
    <row r="63">
      <c r="B63" s="170"/>
    </row>
    <row r="64">
      <c r="B64" s="170"/>
    </row>
    <row r="65">
      <c r="B65" s="170"/>
    </row>
    <row r="66">
      <c r="B66" s="170"/>
    </row>
    <row r="67">
      <c r="B67" s="170"/>
    </row>
    <row r="68">
      <c r="B68" s="170"/>
    </row>
    <row r="69">
      <c r="B69" s="170"/>
    </row>
    <row r="70">
      <c r="B70" s="170"/>
    </row>
    <row r="71">
      <c r="B71" s="170"/>
    </row>
    <row r="72">
      <c r="B72" s="170"/>
    </row>
    <row r="73">
      <c r="B73" s="170"/>
    </row>
    <row r="74">
      <c r="B74" s="170"/>
    </row>
    <row r="75">
      <c r="B75" s="170"/>
    </row>
    <row r="76">
      <c r="B76" s="170"/>
    </row>
    <row r="77">
      <c r="B77" s="170"/>
    </row>
    <row r="78">
      <c r="B78" s="170"/>
    </row>
    <row r="79">
      <c r="B79" s="170"/>
    </row>
    <row r="80">
      <c r="B80" s="170"/>
    </row>
    <row r="81">
      <c r="B81" s="170"/>
    </row>
    <row r="82">
      <c r="B82" s="170"/>
    </row>
    <row r="83">
      <c r="B83" s="170"/>
    </row>
    <row r="84">
      <c r="B84" s="170"/>
    </row>
    <row r="85">
      <c r="B85" s="170"/>
    </row>
    <row r="86">
      <c r="B86" s="170"/>
    </row>
    <row r="87">
      <c r="B87" s="170"/>
    </row>
    <row r="88">
      <c r="B88" s="170"/>
    </row>
    <row r="89">
      <c r="B89" s="170"/>
    </row>
    <row r="90">
      <c r="B90" s="170"/>
    </row>
    <row r="91">
      <c r="B91" s="170"/>
    </row>
    <row r="92">
      <c r="B92" s="170"/>
    </row>
    <row r="93">
      <c r="B93" s="170"/>
    </row>
    <row r="94">
      <c r="B94" s="170"/>
    </row>
    <row r="95">
      <c r="B95" s="170"/>
    </row>
    <row r="96">
      <c r="B96" s="170"/>
    </row>
    <row r="97">
      <c r="B97" s="170"/>
    </row>
    <row r="98">
      <c r="B98" s="170"/>
    </row>
    <row r="99">
      <c r="B99" s="170"/>
    </row>
    <row r="100">
      <c r="B100" s="170"/>
    </row>
    <row r="101">
      <c r="B101" s="170"/>
    </row>
    <row r="102">
      <c r="B102" s="170"/>
    </row>
    <row r="103">
      <c r="B103" s="170"/>
    </row>
    <row r="104">
      <c r="B104" s="170"/>
    </row>
    <row r="105">
      <c r="B105" s="170"/>
    </row>
    <row r="106">
      <c r="B106" s="170"/>
    </row>
    <row r="107">
      <c r="B107" s="170"/>
    </row>
    <row r="108">
      <c r="B108" s="170"/>
    </row>
    <row r="109">
      <c r="B109" s="170"/>
    </row>
    <row r="110">
      <c r="B110" s="170"/>
    </row>
    <row r="111">
      <c r="B111" s="170"/>
    </row>
    <row r="112">
      <c r="B112" s="170"/>
    </row>
    <row r="113">
      <c r="B113" s="170"/>
    </row>
    <row r="114">
      <c r="B114" s="170"/>
    </row>
    <row r="115">
      <c r="B115" s="170"/>
    </row>
    <row r="116">
      <c r="B116" s="170"/>
    </row>
    <row r="117">
      <c r="B117" s="170"/>
    </row>
    <row r="118">
      <c r="B118" s="170"/>
    </row>
    <row r="119">
      <c r="B119" s="170"/>
    </row>
    <row r="120">
      <c r="B120" s="170"/>
    </row>
    <row r="121">
      <c r="B121" s="170"/>
    </row>
    <row r="122">
      <c r="B122" s="170"/>
    </row>
    <row r="123">
      <c r="B123" s="170"/>
    </row>
    <row r="124">
      <c r="B124" s="170"/>
    </row>
    <row r="125">
      <c r="B125" s="170"/>
    </row>
    <row r="126">
      <c r="B126" s="170"/>
    </row>
    <row r="127">
      <c r="B127" s="170"/>
    </row>
    <row r="128">
      <c r="B128" s="170"/>
    </row>
    <row r="129">
      <c r="B129" s="170"/>
    </row>
    <row r="130">
      <c r="B130" s="170"/>
    </row>
    <row r="131">
      <c r="B131" s="170"/>
    </row>
    <row r="132">
      <c r="B132" s="170"/>
    </row>
    <row r="133">
      <c r="B133" s="170"/>
    </row>
    <row r="134">
      <c r="B134" s="170"/>
    </row>
    <row r="135">
      <c r="B135" s="170"/>
    </row>
    <row r="136">
      <c r="B136" s="170"/>
    </row>
    <row r="137">
      <c r="B137" s="170"/>
    </row>
    <row r="138">
      <c r="B138" s="170"/>
    </row>
    <row r="139">
      <c r="B139" s="170"/>
    </row>
    <row r="140">
      <c r="B140" s="170"/>
    </row>
    <row r="141">
      <c r="B141" s="170"/>
    </row>
    <row r="142">
      <c r="B142" s="170"/>
    </row>
    <row r="143">
      <c r="B143" s="170"/>
    </row>
    <row r="144">
      <c r="B144" s="170"/>
    </row>
    <row r="145">
      <c r="B145" s="170"/>
    </row>
    <row r="146">
      <c r="B146" s="170"/>
    </row>
    <row r="147">
      <c r="B147" s="170"/>
    </row>
    <row r="148">
      <c r="B148" s="170"/>
    </row>
    <row r="149">
      <c r="B149" s="170"/>
    </row>
    <row r="150">
      <c r="B150" s="170"/>
    </row>
    <row r="151">
      <c r="B151" s="170"/>
    </row>
    <row r="152">
      <c r="B152" s="170"/>
    </row>
    <row r="153">
      <c r="B153" s="170"/>
    </row>
    <row r="154">
      <c r="B154" s="170"/>
    </row>
    <row r="155">
      <c r="B155" s="170"/>
    </row>
    <row r="156">
      <c r="B156" s="170"/>
    </row>
    <row r="157">
      <c r="B157" s="170"/>
    </row>
    <row r="158">
      <c r="B158" s="170"/>
    </row>
    <row r="159">
      <c r="B159" s="170"/>
    </row>
    <row r="160">
      <c r="B160" s="170"/>
    </row>
    <row r="161">
      <c r="B161" s="170"/>
    </row>
    <row r="162">
      <c r="B162" s="170"/>
    </row>
    <row r="163">
      <c r="B163" s="170"/>
    </row>
    <row r="164">
      <c r="B164" s="170"/>
    </row>
    <row r="165">
      <c r="B165" s="170"/>
    </row>
    <row r="166">
      <c r="B166" s="170"/>
    </row>
    <row r="167">
      <c r="B167" s="170"/>
    </row>
    <row r="168">
      <c r="B168" s="170"/>
    </row>
    <row r="169">
      <c r="B169" s="170"/>
    </row>
    <row r="170">
      <c r="B170" s="170"/>
    </row>
    <row r="171">
      <c r="B171" s="170"/>
    </row>
    <row r="172">
      <c r="B172" s="170"/>
    </row>
    <row r="173">
      <c r="B173" s="170"/>
    </row>
    <row r="174">
      <c r="B174" s="170"/>
    </row>
    <row r="175">
      <c r="B175" s="170"/>
    </row>
    <row r="176">
      <c r="B176" s="170"/>
    </row>
    <row r="177">
      <c r="B177" s="170"/>
    </row>
    <row r="178">
      <c r="B178" s="170"/>
    </row>
    <row r="179">
      <c r="B179" s="170"/>
    </row>
    <row r="180">
      <c r="B180" s="170"/>
    </row>
    <row r="181">
      <c r="B181" s="170"/>
    </row>
    <row r="182">
      <c r="B182" s="170"/>
    </row>
    <row r="183">
      <c r="B183" s="170"/>
    </row>
    <row r="184">
      <c r="B184" s="170"/>
    </row>
    <row r="185">
      <c r="B185" s="170"/>
    </row>
    <row r="186">
      <c r="B186" s="170"/>
    </row>
    <row r="187">
      <c r="B187" s="170"/>
    </row>
    <row r="188">
      <c r="B188" s="170"/>
    </row>
    <row r="189">
      <c r="B189" s="170"/>
    </row>
    <row r="190">
      <c r="B190" s="170"/>
    </row>
    <row r="191">
      <c r="B191" s="170"/>
    </row>
    <row r="192">
      <c r="B192" s="170"/>
    </row>
    <row r="193">
      <c r="B193" s="170"/>
    </row>
    <row r="194">
      <c r="B194" s="170"/>
    </row>
    <row r="195">
      <c r="B195" s="170"/>
    </row>
    <row r="196">
      <c r="B196" s="170"/>
    </row>
    <row r="197">
      <c r="B197" s="170"/>
    </row>
    <row r="198">
      <c r="B198" s="170"/>
    </row>
    <row r="199">
      <c r="B199" s="170"/>
    </row>
    <row r="200">
      <c r="B200" s="170"/>
    </row>
    <row r="201">
      <c r="B201" s="170"/>
    </row>
    <row r="202">
      <c r="B202" s="170"/>
    </row>
    <row r="203">
      <c r="B203" s="170"/>
    </row>
    <row r="204">
      <c r="B204" s="170"/>
    </row>
    <row r="205">
      <c r="B205" s="170"/>
    </row>
    <row r="206">
      <c r="B206" s="170"/>
    </row>
    <row r="207">
      <c r="B207" s="170"/>
    </row>
    <row r="208">
      <c r="B208" s="170"/>
    </row>
    <row r="209">
      <c r="B209" s="170"/>
    </row>
    <row r="210">
      <c r="B210" s="170"/>
    </row>
    <row r="211">
      <c r="B211" s="170"/>
    </row>
    <row r="212">
      <c r="B212" s="170"/>
    </row>
    <row r="213">
      <c r="B213" s="170"/>
    </row>
    <row r="214">
      <c r="B214" s="170"/>
    </row>
    <row r="215">
      <c r="B215" s="170"/>
    </row>
    <row r="216">
      <c r="B216" s="170"/>
    </row>
    <row r="217">
      <c r="B217" s="170"/>
    </row>
    <row r="218">
      <c r="B218" s="170"/>
    </row>
    <row r="219">
      <c r="B219" s="170"/>
    </row>
    <row r="220">
      <c r="B220" s="170"/>
    </row>
    <row r="221">
      <c r="B221" s="170"/>
    </row>
    <row r="222">
      <c r="B222" s="170"/>
    </row>
    <row r="223">
      <c r="B223" s="170"/>
    </row>
    <row r="224">
      <c r="B224" s="170"/>
    </row>
    <row r="225">
      <c r="B225" s="170"/>
    </row>
    <row r="226">
      <c r="B226" s="170"/>
    </row>
    <row r="227">
      <c r="B227" s="170"/>
    </row>
    <row r="228">
      <c r="B228" s="170"/>
    </row>
    <row r="229">
      <c r="B229" s="170"/>
    </row>
    <row r="230">
      <c r="B230" s="170"/>
    </row>
    <row r="231">
      <c r="B231" s="170"/>
    </row>
    <row r="232">
      <c r="B232" s="170"/>
    </row>
    <row r="233">
      <c r="B233" s="170"/>
    </row>
    <row r="234">
      <c r="B234" s="170"/>
    </row>
    <row r="235">
      <c r="B235" s="170"/>
    </row>
    <row r="236">
      <c r="B236" s="170"/>
    </row>
    <row r="237">
      <c r="B237" s="170"/>
    </row>
    <row r="238">
      <c r="B238" s="170"/>
    </row>
    <row r="239">
      <c r="B239" s="170"/>
    </row>
    <row r="240">
      <c r="B240" s="170"/>
    </row>
    <row r="241">
      <c r="B241" s="170"/>
    </row>
    <row r="242">
      <c r="B242" s="170"/>
    </row>
    <row r="243">
      <c r="B243" s="170"/>
    </row>
    <row r="244">
      <c r="B244" s="170"/>
    </row>
    <row r="245">
      <c r="B245" s="170"/>
    </row>
    <row r="246">
      <c r="B246" s="170"/>
    </row>
    <row r="247">
      <c r="B247" s="170"/>
    </row>
    <row r="248">
      <c r="B248" s="170"/>
    </row>
    <row r="249">
      <c r="B249" s="170"/>
    </row>
    <row r="250">
      <c r="B250" s="170"/>
    </row>
    <row r="251">
      <c r="B251" s="170"/>
    </row>
    <row r="252">
      <c r="B252" s="170"/>
    </row>
    <row r="253">
      <c r="B253" s="170"/>
    </row>
    <row r="254">
      <c r="B254" s="170"/>
    </row>
    <row r="255">
      <c r="B255" s="170"/>
    </row>
    <row r="256">
      <c r="B256" s="170"/>
    </row>
    <row r="257">
      <c r="B257" s="170"/>
    </row>
    <row r="258">
      <c r="B258" s="170"/>
    </row>
    <row r="259">
      <c r="B259" s="170"/>
    </row>
    <row r="260">
      <c r="B260" s="170"/>
    </row>
    <row r="261">
      <c r="B261" s="170"/>
    </row>
    <row r="262">
      <c r="B262" s="170"/>
    </row>
    <row r="263">
      <c r="B263" s="170"/>
    </row>
    <row r="264">
      <c r="B264" s="170"/>
    </row>
    <row r="265">
      <c r="B265" s="170"/>
    </row>
    <row r="266">
      <c r="B266" s="170"/>
    </row>
    <row r="267">
      <c r="B267" s="170"/>
    </row>
    <row r="268">
      <c r="B268" s="170"/>
    </row>
    <row r="269">
      <c r="B269" s="170"/>
    </row>
    <row r="270">
      <c r="B270" s="170"/>
    </row>
    <row r="271">
      <c r="B271" s="170"/>
    </row>
    <row r="272">
      <c r="B272" s="170"/>
    </row>
    <row r="273">
      <c r="B273" s="170"/>
    </row>
    <row r="274">
      <c r="B274" s="170"/>
    </row>
    <row r="275">
      <c r="B275" s="170"/>
    </row>
    <row r="276">
      <c r="B276" s="170"/>
    </row>
    <row r="277">
      <c r="B277" s="170"/>
    </row>
    <row r="278">
      <c r="B278" s="170"/>
    </row>
    <row r="279">
      <c r="B279" s="170"/>
    </row>
    <row r="280">
      <c r="B280" s="170"/>
    </row>
    <row r="281">
      <c r="B281" s="170"/>
    </row>
    <row r="282">
      <c r="B282" s="170"/>
    </row>
    <row r="283">
      <c r="B283" s="170"/>
    </row>
    <row r="284">
      <c r="B284" s="170"/>
    </row>
    <row r="285">
      <c r="B285" s="170"/>
    </row>
    <row r="286">
      <c r="B286" s="170"/>
    </row>
    <row r="287">
      <c r="B287" s="170"/>
    </row>
    <row r="288">
      <c r="B288" s="170"/>
    </row>
    <row r="289">
      <c r="B289" s="170"/>
    </row>
    <row r="290">
      <c r="B290" s="170"/>
    </row>
    <row r="291">
      <c r="B291" s="170"/>
    </row>
    <row r="292">
      <c r="B292" s="170"/>
    </row>
    <row r="293">
      <c r="B293" s="170"/>
    </row>
    <row r="294">
      <c r="B294" s="170"/>
    </row>
    <row r="295">
      <c r="B295" s="170"/>
    </row>
    <row r="296">
      <c r="B296" s="170"/>
    </row>
    <row r="297">
      <c r="B297" s="170"/>
    </row>
    <row r="298">
      <c r="B298" s="170"/>
    </row>
    <row r="299">
      <c r="B299" s="170"/>
    </row>
    <row r="300">
      <c r="B300" s="170"/>
    </row>
    <row r="301">
      <c r="B301" s="170"/>
    </row>
    <row r="302">
      <c r="B302" s="170"/>
    </row>
    <row r="303">
      <c r="B303" s="170"/>
    </row>
    <row r="304">
      <c r="B304" s="170"/>
    </row>
    <row r="305">
      <c r="B305" s="170"/>
    </row>
    <row r="306">
      <c r="B306" s="170"/>
    </row>
    <row r="307">
      <c r="B307" s="170"/>
    </row>
    <row r="308">
      <c r="B308" s="170"/>
    </row>
    <row r="309">
      <c r="B309" s="170"/>
    </row>
    <row r="310">
      <c r="B310" s="170"/>
    </row>
    <row r="311">
      <c r="B311" s="170"/>
    </row>
    <row r="312">
      <c r="B312" s="170"/>
    </row>
    <row r="313">
      <c r="B313" s="170"/>
    </row>
    <row r="314">
      <c r="B314" s="170"/>
    </row>
    <row r="315">
      <c r="B315" s="170"/>
    </row>
    <row r="316">
      <c r="B316" s="170"/>
    </row>
    <row r="317">
      <c r="B317" s="170"/>
    </row>
    <row r="318">
      <c r="B318" s="170"/>
    </row>
    <row r="319">
      <c r="B319" s="170"/>
    </row>
    <row r="320">
      <c r="B320" s="170"/>
    </row>
    <row r="321">
      <c r="B321" s="170"/>
    </row>
    <row r="322">
      <c r="B322" s="170"/>
    </row>
    <row r="323">
      <c r="B323" s="170"/>
    </row>
    <row r="324">
      <c r="B324" s="170"/>
    </row>
    <row r="325">
      <c r="B325" s="170"/>
    </row>
    <row r="326">
      <c r="B326" s="170"/>
    </row>
    <row r="327">
      <c r="B327" s="170"/>
    </row>
    <row r="328">
      <c r="B328" s="170"/>
    </row>
    <row r="329">
      <c r="B329" s="170"/>
    </row>
    <row r="330">
      <c r="B330" s="170"/>
    </row>
    <row r="331">
      <c r="B331" s="170"/>
    </row>
    <row r="332">
      <c r="B332" s="170"/>
    </row>
    <row r="333">
      <c r="B333" s="170"/>
    </row>
    <row r="334">
      <c r="B334" s="170"/>
    </row>
    <row r="335">
      <c r="B335" s="170"/>
    </row>
    <row r="336">
      <c r="B336" s="170"/>
    </row>
    <row r="337">
      <c r="B337" s="170"/>
    </row>
    <row r="338">
      <c r="B338" s="170"/>
    </row>
    <row r="339">
      <c r="B339" s="170"/>
    </row>
    <row r="340">
      <c r="B340" s="170"/>
    </row>
    <row r="341">
      <c r="B341" s="170"/>
    </row>
    <row r="342">
      <c r="B342" s="170"/>
    </row>
    <row r="343">
      <c r="B343" s="170"/>
    </row>
    <row r="344">
      <c r="B344" s="170"/>
    </row>
    <row r="345">
      <c r="B345" s="170"/>
    </row>
    <row r="346">
      <c r="B346" s="170"/>
    </row>
    <row r="347">
      <c r="B347" s="170"/>
    </row>
    <row r="348">
      <c r="B348" s="170"/>
    </row>
    <row r="349">
      <c r="B349" s="170"/>
    </row>
    <row r="350">
      <c r="B350" s="170"/>
    </row>
    <row r="351">
      <c r="B351" s="170"/>
    </row>
    <row r="352">
      <c r="B352" s="170"/>
    </row>
    <row r="353">
      <c r="B353" s="170"/>
    </row>
    <row r="354">
      <c r="B354" s="170"/>
    </row>
    <row r="355">
      <c r="B355" s="170"/>
    </row>
    <row r="356">
      <c r="B356" s="170"/>
    </row>
    <row r="357">
      <c r="B357" s="170"/>
    </row>
    <row r="358">
      <c r="B358" s="170"/>
    </row>
    <row r="359">
      <c r="B359" s="170"/>
    </row>
    <row r="360">
      <c r="B360" s="170"/>
    </row>
    <row r="361">
      <c r="B361" s="170"/>
    </row>
    <row r="362">
      <c r="B362" s="170"/>
    </row>
    <row r="363">
      <c r="B363" s="170"/>
    </row>
    <row r="364">
      <c r="B364" s="170"/>
    </row>
    <row r="365">
      <c r="B365" s="170"/>
    </row>
    <row r="366">
      <c r="B366" s="170"/>
    </row>
    <row r="367">
      <c r="B367" s="170"/>
    </row>
    <row r="368">
      <c r="B368" s="170"/>
    </row>
    <row r="369">
      <c r="B369" s="170"/>
    </row>
    <row r="370">
      <c r="B370" s="170"/>
    </row>
    <row r="371">
      <c r="B371" s="170"/>
    </row>
    <row r="372">
      <c r="B372" s="170"/>
    </row>
    <row r="373">
      <c r="B373" s="170"/>
    </row>
    <row r="374">
      <c r="B374" s="170"/>
    </row>
    <row r="375">
      <c r="B375" s="170"/>
    </row>
    <row r="376">
      <c r="B376" s="170"/>
    </row>
    <row r="377">
      <c r="B377" s="170"/>
    </row>
    <row r="378">
      <c r="B378" s="170"/>
    </row>
    <row r="379">
      <c r="B379" s="170"/>
    </row>
    <row r="380">
      <c r="B380" s="170"/>
    </row>
    <row r="381">
      <c r="B381" s="170"/>
    </row>
    <row r="382">
      <c r="B382" s="170"/>
    </row>
    <row r="383">
      <c r="B383" s="170"/>
    </row>
    <row r="384">
      <c r="B384" s="170"/>
    </row>
    <row r="385">
      <c r="B385" s="170"/>
    </row>
    <row r="386">
      <c r="B386" s="170"/>
    </row>
    <row r="387">
      <c r="B387" s="170"/>
    </row>
    <row r="388">
      <c r="B388" s="170"/>
    </row>
    <row r="389">
      <c r="B389" s="170"/>
    </row>
    <row r="390">
      <c r="B390" s="170"/>
    </row>
    <row r="391">
      <c r="B391" s="170"/>
    </row>
    <row r="392">
      <c r="B392" s="170"/>
    </row>
    <row r="393">
      <c r="B393" s="170"/>
    </row>
    <row r="394">
      <c r="B394" s="170"/>
    </row>
    <row r="395">
      <c r="B395" s="170"/>
    </row>
    <row r="396">
      <c r="B396" s="170"/>
    </row>
    <row r="397">
      <c r="B397" s="170"/>
    </row>
    <row r="398">
      <c r="B398" s="170"/>
    </row>
    <row r="399">
      <c r="B399" s="170"/>
    </row>
    <row r="400">
      <c r="B400" s="170"/>
    </row>
    <row r="401">
      <c r="B401" s="170"/>
    </row>
    <row r="402">
      <c r="B402" s="170"/>
    </row>
    <row r="403">
      <c r="B403" s="170"/>
    </row>
    <row r="404">
      <c r="B404" s="170"/>
    </row>
    <row r="405">
      <c r="B405" s="170"/>
    </row>
    <row r="406">
      <c r="B406" s="170"/>
    </row>
    <row r="407">
      <c r="B407" s="170"/>
    </row>
    <row r="408">
      <c r="B408" s="170"/>
    </row>
    <row r="409">
      <c r="B409" s="170"/>
    </row>
    <row r="410">
      <c r="B410" s="170"/>
    </row>
    <row r="411">
      <c r="B411" s="170"/>
    </row>
    <row r="412">
      <c r="B412" s="170"/>
    </row>
    <row r="413">
      <c r="B413" s="170"/>
    </row>
    <row r="414">
      <c r="B414" s="170"/>
    </row>
    <row r="415">
      <c r="B415" s="170"/>
    </row>
    <row r="416">
      <c r="B416" s="170"/>
    </row>
    <row r="417">
      <c r="B417" s="170"/>
    </row>
    <row r="418">
      <c r="B418" s="170"/>
    </row>
    <row r="419">
      <c r="B419" s="170"/>
    </row>
    <row r="420">
      <c r="B420" s="170"/>
    </row>
    <row r="421">
      <c r="B421" s="170"/>
    </row>
    <row r="422">
      <c r="B422" s="170"/>
    </row>
    <row r="423">
      <c r="B423" s="170"/>
    </row>
    <row r="424">
      <c r="B424" s="170"/>
    </row>
    <row r="425">
      <c r="B425" s="170"/>
    </row>
    <row r="426">
      <c r="B426" s="170"/>
    </row>
    <row r="427">
      <c r="B427" s="170"/>
    </row>
    <row r="428">
      <c r="B428" s="170"/>
    </row>
    <row r="429">
      <c r="B429" s="170"/>
    </row>
    <row r="430">
      <c r="B430" s="170"/>
    </row>
    <row r="431">
      <c r="B431" s="170"/>
    </row>
    <row r="432">
      <c r="B432" s="170"/>
    </row>
    <row r="433">
      <c r="B433" s="170"/>
    </row>
    <row r="434">
      <c r="B434" s="170"/>
    </row>
    <row r="435">
      <c r="B435" s="170"/>
    </row>
    <row r="436">
      <c r="B436" s="170"/>
    </row>
    <row r="437">
      <c r="B437" s="170"/>
    </row>
    <row r="438">
      <c r="B438" s="170"/>
    </row>
    <row r="439">
      <c r="B439" s="170"/>
    </row>
    <row r="440">
      <c r="B440" s="170"/>
    </row>
    <row r="441">
      <c r="B441" s="170"/>
    </row>
    <row r="442">
      <c r="B442" s="170"/>
    </row>
    <row r="443">
      <c r="B443" s="170"/>
    </row>
    <row r="444">
      <c r="B444" s="170"/>
    </row>
    <row r="445">
      <c r="B445" s="170"/>
    </row>
    <row r="446">
      <c r="B446" s="170"/>
    </row>
    <row r="447">
      <c r="B447" s="170"/>
    </row>
    <row r="448">
      <c r="B448" s="170"/>
    </row>
    <row r="449">
      <c r="B449" s="170"/>
    </row>
    <row r="450">
      <c r="B450" s="170"/>
    </row>
    <row r="451">
      <c r="B451" s="170"/>
    </row>
    <row r="452">
      <c r="B452" s="170"/>
    </row>
    <row r="453">
      <c r="B453" s="170"/>
    </row>
    <row r="454">
      <c r="B454" s="170"/>
    </row>
    <row r="455">
      <c r="B455" s="170"/>
    </row>
    <row r="456">
      <c r="B456" s="170"/>
    </row>
    <row r="457">
      <c r="B457" s="170"/>
    </row>
    <row r="458">
      <c r="B458" s="170"/>
    </row>
    <row r="459">
      <c r="B459" s="170"/>
    </row>
    <row r="460">
      <c r="B460" s="170"/>
    </row>
    <row r="461">
      <c r="B461" s="170"/>
    </row>
    <row r="462">
      <c r="B462" s="170"/>
    </row>
    <row r="463">
      <c r="B463" s="170"/>
    </row>
    <row r="464">
      <c r="B464" s="170"/>
    </row>
    <row r="465">
      <c r="B465" s="170"/>
    </row>
    <row r="466">
      <c r="B466" s="170"/>
    </row>
    <row r="467">
      <c r="B467" s="170"/>
    </row>
    <row r="468">
      <c r="B468" s="170"/>
    </row>
    <row r="469">
      <c r="B469" s="170"/>
    </row>
    <row r="470">
      <c r="B470" s="170"/>
    </row>
    <row r="471">
      <c r="B471" s="170"/>
    </row>
    <row r="472">
      <c r="B472" s="170"/>
    </row>
    <row r="473">
      <c r="B473" s="170"/>
    </row>
    <row r="474">
      <c r="B474" s="170"/>
    </row>
    <row r="475">
      <c r="B475" s="170"/>
    </row>
    <row r="476">
      <c r="B476" s="170"/>
    </row>
    <row r="477">
      <c r="B477" s="170"/>
    </row>
    <row r="478">
      <c r="B478" s="170"/>
    </row>
    <row r="479">
      <c r="B479" s="170"/>
    </row>
    <row r="480">
      <c r="B480" s="170"/>
    </row>
    <row r="481">
      <c r="B481" s="170"/>
    </row>
    <row r="482">
      <c r="B482" s="170"/>
    </row>
    <row r="483">
      <c r="B483" s="170"/>
    </row>
    <row r="484">
      <c r="B484" s="170"/>
    </row>
    <row r="485">
      <c r="B485" s="170"/>
    </row>
    <row r="486">
      <c r="B486" s="170"/>
    </row>
    <row r="487">
      <c r="B487" s="170"/>
    </row>
    <row r="488">
      <c r="B488" s="170"/>
    </row>
    <row r="489">
      <c r="B489" s="170"/>
    </row>
    <row r="490">
      <c r="B490" s="170"/>
    </row>
    <row r="491">
      <c r="B491" s="170"/>
    </row>
    <row r="492">
      <c r="B492" s="170"/>
    </row>
    <row r="493">
      <c r="B493" s="170"/>
    </row>
    <row r="494">
      <c r="B494" s="170"/>
    </row>
    <row r="495">
      <c r="B495" s="170"/>
    </row>
    <row r="496">
      <c r="B496" s="170"/>
    </row>
    <row r="497">
      <c r="B497" s="170"/>
    </row>
    <row r="498">
      <c r="B498" s="170"/>
    </row>
    <row r="499">
      <c r="B499" s="170"/>
    </row>
    <row r="500">
      <c r="B500" s="170"/>
    </row>
    <row r="501">
      <c r="B501" s="170"/>
    </row>
    <row r="502">
      <c r="B502" s="170"/>
    </row>
    <row r="503">
      <c r="B503" s="170"/>
    </row>
    <row r="504">
      <c r="B504" s="170"/>
    </row>
    <row r="505">
      <c r="B505" s="170"/>
    </row>
    <row r="506">
      <c r="B506" s="170"/>
    </row>
    <row r="507">
      <c r="B507" s="170"/>
    </row>
    <row r="508">
      <c r="B508" s="170"/>
    </row>
    <row r="509">
      <c r="B509" s="170"/>
    </row>
    <row r="510">
      <c r="B510" s="170"/>
    </row>
    <row r="511">
      <c r="B511" s="170"/>
    </row>
    <row r="512">
      <c r="B512" s="170"/>
    </row>
    <row r="513">
      <c r="B513" s="170"/>
    </row>
    <row r="514">
      <c r="B514" s="170"/>
    </row>
    <row r="515">
      <c r="B515" s="170"/>
    </row>
    <row r="516">
      <c r="B516" s="170"/>
    </row>
    <row r="517">
      <c r="B517" s="170"/>
    </row>
    <row r="518">
      <c r="B518" s="170"/>
    </row>
    <row r="519">
      <c r="B519" s="170"/>
    </row>
    <row r="520">
      <c r="B520" s="170"/>
    </row>
    <row r="521">
      <c r="B521" s="170"/>
    </row>
    <row r="522">
      <c r="B522" s="170"/>
    </row>
    <row r="523">
      <c r="B523" s="170"/>
    </row>
    <row r="524">
      <c r="B524" s="170"/>
    </row>
    <row r="525">
      <c r="B525" s="170"/>
    </row>
    <row r="526">
      <c r="B526" s="170"/>
    </row>
    <row r="527">
      <c r="B527" s="170"/>
    </row>
    <row r="528">
      <c r="B528" s="170"/>
    </row>
    <row r="529">
      <c r="B529" s="170"/>
    </row>
    <row r="530">
      <c r="B530" s="170"/>
    </row>
    <row r="531">
      <c r="B531" s="170"/>
    </row>
    <row r="532">
      <c r="B532" s="170"/>
    </row>
    <row r="533">
      <c r="B533" s="170"/>
    </row>
    <row r="534">
      <c r="B534" s="170"/>
    </row>
    <row r="535">
      <c r="B535" s="170"/>
    </row>
    <row r="536">
      <c r="B536" s="170"/>
    </row>
    <row r="537">
      <c r="B537" s="170"/>
    </row>
    <row r="538">
      <c r="B538" s="170"/>
    </row>
    <row r="539">
      <c r="B539" s="170"/>
    </row>
    <row r="540">
      <c r="B540" s="170"/>
    </row>
    <row r="541">
      <c r="B541" s="170"/>
    </row>
    <row r="542">
      <c r="B542" s="170"/>
    </row>
    <row r="543">
      <c r="B543" s="170"/>
    </row>
    <row r="544">
      <c r="B544" s="170"/>
    </row>
    <row r="545">
      <c r="B545" s="170"/>
    </row>
    <row r="546">
      <c r="B546" s="170"/>
    </row>
    <row r="547">
      <c r="B547" s="170"/>
    </row>
    <row r="548">
      <c r="B548" s="170"/>
    </row>
    <row r="549">
      <c r="B549" s="170"/>
    </row>
    <row r="550">
      <c r="B550" s="170"/>
    </row>
    <row r="551">
      <c r="B551" s="170"/>
    </row>
    <row r="552">
      <c r="B552" s="170"/>
    </row>
    <row r="553">
      <c r="B553" s="170"/>
    </row>
    <row r="554">
      <c r="B554" s="170"/>
    </row>
    <row r="555">
      <c r="B555" s="170"/>
    </row>
    <row r="556">
      <c r="B556" s="170"/>
    </row>
    <row r="557">
      <c r="B557" s="170"/>
    </row>
    <row r="558">
      <c r="B558" s="170"/>
    </row>
    <row r="559">
      <c r="B559" s="170"/>
    </row>
    <row r="560">
      <c r="B560" s="170"/>
    </row>
    <row r="561">
      <c r="B561" s="170"/>
    </row>
    <row r="562">
      <c r="B562" s="170"/>
    </row>
    <row r="563">
      <c r="B563" s="170"/>
    </row>
    <row r="564">
      <c r="B564" s="170"/>
    </row>
    <row r="565">
      <c r="B565" s="170"/>
    </row>
    <row r="566">
      <c r="B566" s="170"/>
    </row>
    <row r="567">
      <c r="B567" s="170"/>
    </row>
    <row r="568">
      <c r="B568" s="170"/>
    </row>
    <row r="569">
      <c r="B569" s="170"/>
    </row>
    <row r="570">
      <c r="B570" s="170"/>
    </row>
    <row r="571">
      <c r="B571" s="170"/>
    </row>
    <row r="572">
      <c r="B572" s="170"/>
    </row>
    <row r="573">
      <c r="B573" s="170"/>
    </row>
    <row r="574">
      <c r="B574" s="170"/>
    </row>
    <row r="575">
      <c r="B575" s="170"/>
    </row>
    <row r="576">
      <c r="B576" s="170"/>
    </row>
    <row r="577">
      <c r="B577" s="170"/>
    </row>
    <row r="578">
      <c r="B578" s="170"/>
    </row>
    <row r="579">
      <c r="B579" s="170"/>
    </row>
    <row r="580">
      <c r="B580" s="170"/>
    </row>
    <row r="581">
      <c r="B581" s="170"/>
    </row>
    <row r="582">
      <c r="B582" s="170"/>
    </row>
    <row r="583">
      <c r="B583" s="170"/>
    </row>
    <row r="584">
      <c r="B584" s="170"/>
    </row>
    <row r="585">
      <c r="B585" s="170"/>
    </row>
    <row r="586">
      <c r="B586" s="170"/>
    </row>
    <row r="587">
      <c r="B587" s="170"/>
    </row>
    <row r="588">
      <c r="B588" s="170"/>
    </row>
    <row r="589">
      <c r="B589" s="170"/>
    </row>
    <row r="590">
      <c r="B590" s="170"/>
    </row>
    <row r="591">
      <c r="B591" s="170"/>
    </row>
    <row r="592">
      <c r="B592" s="170"/>
    </row>
    <row r="593">
      <c r="B593" s="170"/>
    </row>
    <row r="594">
      <c r="B594" s="170"/>
    </row>
    <row r="595">
      <c r="B595" s="170"/>
    </row>
    <row r="596">
      <c r="B596" s="170"/>
    </row>
    <row r="597">
      <c r="B597" s="170"/>
    </row>
    <row r="598">
      <c r="B598" s="170"/>
    </row>
    <row r="599">
      <c r="B599" s="170"/>
    </row>
    <row r="600">
      <c r="B600" s="170"/>
    </row>
    <row r="601">
      <c r="B601" s="170"/>
    </row>
    <row r="602">
      <c r="B602" s="170"/>
    </row>
    <row r="603">
      <c r="B603" s="170"/>
    </row>
    <row r="604">
      <c r="B604" s="170"/>
    </row>
    <row r="605">
      <c r="B605" s="170"/>
    </row>
    <row r="606">
      <c r="B606" s="170"/>
    </row>
    <row r="607">
      <c r="B607" s="170"/>
    </row>
    <row r="608">
      <c r="B608" s="170"/>
    </row>
    <row r="609">
      <c r="B609" s="170"/>
    </row>
    <row r="610">
      <c r="B610" s="170"/>
    </row>
    <row r="611">
      <c r="B611" s="170"/>
    </row>
    <row r="612">
      <c r="B612" s="170"/>
    </row>
    <row r="613">
      <c r="B613" s="170"/>
    </row>
    <row r="614">
      <c r="B614" s="170"/>
    </row>
    <row r="615">
      <c r="B615" s="170"/>
    </row>
    <row r="616">
      <c r="B616" s="170"/>
    </row>
    <row r="617">
      <c r="B617" s="170"/>
    </row>
    <row r="618">
      <c r="B618" s="170"/>
    </row>
    <row r="619">
      <c r="B619" s="170"/>
    </row>
    <row r="620">
      <c r="B620" s="170"/>
    </row>
    <row r="621">
      <c r="B621" s="170"/>
    </row>
    <row r="622">
      <c r="B622" s="170"/>
    </row>
    <row r="623">
      <c r="B623" s="170"/>
    </row>
    <row r="624">
      <c r="B624" s="170"/>
    </row>
    <row r="625">
      <c r="B625" s="170"/>
    </row>
    <row r="626">
      <c r="B626" s="170"/>
    </row>
    <row r="627">
      <c r="B627" s="170"/>
    </row>
    <row r="628">
      <c r="B628" s="170"/>
    </row>
    <row r="629">
      <c r="B629" s="170"/>
    </row>
    <row r="630">
      <c r="B630" s="170"/>
    </row>
    <row r="631">
      <c r="B631" s="170"/>
    </row>
    <row r="632">
      <c r="B632" s="170"/>
    </row>
    <row r="633">
      <c r="B633" s="170"/>
    </row>
    <row r="634">
      <c r="B634" s="170"/>
    </row>
    <row r="635">
      <c r="B635" s="170"/>
    </row>
    <row r="636">
      <c r="B636" s="170"/>
    </row>
    <row r="637">
      <c r="B637" s="170"/>
    </row>
    <row r="638">
      <c r="B638" s="170"/>
    </row>
    <row r="639">
      <c r="B639" s="170"/>
    </row>
    <row r="640">
      <c r="B640" s="170"/>
    </row>
    <row r="641">
      <c r="B641" s="170"/>
    </row>
    <row r="642">
      <c r="B642" s="170"/>
    </row>
    <row r="643">
      <c r="B643" s="170"/>
    </row>
    <row r="644">
      <c r="B644" s="170"/>
    </row>
    <row r="645">
      <c r="B645" s="170"/>
    </row>
    <row r="646">
      <c r="B646" s="170"/>
    </row>
    <row r="647">
      <c r="B647" s="170"/>
    </row>
    <row r="648">
      <c r="B648" s="170"/>
    </row>
    <row r="649">
      <c r="B649" s="170"/>
    </row>
    <row r="650">
      <c r="B650" s="170"/>
    </row>
    <row r="651">
      <c r="B651" s="170"/>
    </row>
    <row r="652">
      <c r="B652" s="170"/>
    </row>
    <row r="653">
      <c r="B653" s="170"/>
    </row>
    <row r="654">
      <c r="B654" s="170"/>
    </row>
    <row r="655">
      <c r="B655" s="170"/>
    </row>
    <row r="656">
      <c r="B656" s="170"/>
    </row>
    <row r="657">
      <c r="B657" s="170"/>
    </row>
    <row r="658">
      <c r="B658" s="170"/>
    </row>
    <row r="659">
      <c r="B659" s="170"/>
    </row>
    <row r="660">
      <c r="B660" s="170"/>
    </row>
    <row r="661">
      <c r="B661" s="170"/>
    </row>
    <row r="662">
      <c r="B662" s="170"/>
    </row>
    <row r="663">
      <c r="B663" s="170"/>
    </row>
    <row r="664">
      <c r="B664" s="170"/>
    </row>
    <row r="665">
      <c r="B665" s="170"/>
    </row>
    <row r="666">
      <c r="B666" s="170"/>
    </row>
    <row r="667">
      <c r="B667" s="170"/>
    </row>
    <row r="668">
      <c r="B668" s="170"/>
    </row>
    <row r="669">
      <c r="B669" s="170"/>
    </row>
    <row r="670">
      <c r="B670" s="170"/>
    </row>
    <row r="671">
      <c r="B671" s="170"/>
    </row>
    <row r="672">
      <c r="B672" s="170"/>
    </row>
    <row r="673">
      <c r="B673" s="170"/>
    </row>
    <row r="674">
      <c r="B674" s="170"/>
    </row>
    <row r="675">
      <c r="B675" s="170"/>
    </row>
    <row r="676">
      <c r="B676" s="170"/>
    </row>
    <row r="677">
      <c r="B677" s="170"/>
    </row>
    <row r="678">
      <c r="B678" s="170"/>
    </row>
    <row r="679">
      <c r="B679" s="170"/>
    </row>
    <row r="680">
      <c r="B680" s="170"/>
    </row>
    <row r="681">
      <c r="B681" s="170"/>
    </row>
    <row r="682">
      <c r="B682" s="170"/>
    </row>
    <row r="683">
      <c r="B683" s="170"/>
    </row>
    <row r="684">
      <c r="B684" s="170"/>
    </row>
    <row r="685">
      <c r="B685" s="170"/>
    </row>
    <row r="686">
      <c r="B686" s="170"/>
    </row>
    <row r="687">
      <c r="B687" s="170"/>
    </row>
    <row r="688">
      <c r="B688" s="170"/>
    </row>
    <row r="689">
      <c r="B689" s="170"/>
    </row>
    <row r="690">
      <c r="B690" s="170"/>
    </row>
    <row r="691">
      <c r="B691" s="170"/>
    </row>
    <row r="692">
      <c r="B692" s="170"/>
    </row>
    <row r="693">
      <c r="B693" s="170"/>
    </row>
    <row r="694">
      <c r="B694" s="170"/>
    </row>
    <row r="695">
      <c r="B695" s="170"/>
    </row>
    <row r="696">
      <c r="B696" s="170"/>
    </row>
    <row r="697">
      <c r="B697" s="170"/>
    </row>
    <row r="698">
      <c r="B698" s="170"/>
    </row>
    <row r="699">
      <c r="B699" s="170"/>
    </row>
    <row r="700">
      <c r="B700" s="170"/>
    </row>
    <row r="701">
      <c r="B701" s="170"/>
    </row>
    <row r="702">
      <c r="B702" s="170"/>
    </row>
    <row r="703">
      <c r="B703" s="170"/>
    </row>
    <row r="704">
      <c r="B704" s="170"/>
    </row>
    <row r="705">
      <c r="B705" s="170"/>
    </row>
    <row r="706">
      <c r="B706" s="170"/>
    </row>
    <row r="707">
      <c r="B707" s="170"/>
    </row>
    <row r="708">
      <c r="B708" s="170"/>
    </row>
    <row r="709">
      <c r="B709" s="170"/>
    </row>
    <row r="710">
      <c r="B710" s="170"/>
    </row>
    <row r="711">
      <c r="B711" s="170"/>
    </row>
    <row r="712">
      <c r="B712" s="170"/>
    </row>
    <row r="713">
      <c r="B713" s="170"/>
    </row>
    <row r="714">
      <c r="B714" s="170"/>
    </row>
    <row r="715">
      <c r="B715" s="170"/>
    </row>
    <row r="716">
      <c r="B716" s="170"/>
    </row>
    <row r="717">
      <c r="B717" s="170"/>
    </row>
    <row r="718">
      <c r="B718" s="170"/>
    </row>
    <row r="719">
      <c r="B719" s="170"/>
    </row>
    <row r="720">
      <c r="B720" s="170"/>
    </row>
    <row r="721">
      <c r="B721" s="170"/>
    </row>
    <row r="722">
      <c r="B722" s="170"/>
    </row>
    <row r="723">
      <c r="B723" s="170"/>
    </row>
    <row r="724">
      <c r="B724" s="170"/>
    </row>
    <row r="725">
      <c r="B725" s="170"/>
    </row>
    <row r="726">
      <c r="B726" s="170"/>
    </row>
    <row r="727">
      <c r="B727" s="170"/>
    </row>
    <row r="728">
      <c r="B728" s="170"/>
    </row>
    <row r="729">
      <c r="B729" s="170"/>
    </row>
    <row r="730">
      <c r="B730" s="170"/>
    </row>
    <row r="731">
      <c r="B731" s="170"/>
    </row>
    <row r="732">
      <c r="B732" s="170"/>
    </row>
    <row r="733">
      <c r="B733" s="170"/>
    </row>
    <row r="734">
      <c r="B734" s="170"/>
    </row>
    <row r="735">
      <c r="B735" s="170"/>
    </row>
    <row r="736">
      <c r="B736" s="170"/>
    </row>
    <row r="737">
      <c r="B737" s="170"/>
    </row>
    <row r="738">
      <c r="B738" s="170"/>
    </row>
    <row r="739">
      <c r="B739" s="170"/>
    </row>
    <row r="740">
      <c r="B740" s="170"/>
    </row>
    <row r="741">
      <c r="B741" s="170"/>
    </row>
    <row r="742">
      <c r="B742" s="170"/>
    </row>
    <row r="743">
      <c r="B743" s="170"/>
    </row>
    <row r="744">
      <c r="B744" s="170"/>
    </row>
    <row r="745">
      <c r="B745" s="170"/>
    </row>
    <row r="746">
      <c r="B746" s="170"/>
    </row>
    <row r="747">
      <c r="B747" s="170"/>
    </row>
    <row r="748">
      <c r="B748" s="170"/>
    </row>
    <row r="749">
      <c r="B749" s="170"/>
    </row>
    <row r="750">
      <c r="B750" s="170"/>
    </row>
    <row r="751">
      <c r="B751" s="170"/>
    </row>
    <row r="752">
      <c r="B752" s="170"/>
    </row>
    <row r="753">
      <c r="B753" s="170"/>
    </row>
    <row r="754">
      <c r="B754" s="170"/>
    </row>
    <row r="755">
      <c r="B755" s="170"/>
    </row>
    <row r="756">
      <c r="B756" s="170"/>
    </row>
    <row r="757">
      <c r="B757" s="170"/>
    </row>
    <row r="758">
      <c r="B758" s="170"/>
    </row>
    <row r="759">
      <c r="B759" s="170"/>
    </row>
    <row r="760">
      <c r="B760" s="170"/>
    </row>
    <row r="761">
      <c r="B761" s="170"/>
    </row>
    <row r="762">
      <c r="B762" s="170"/>
    </row>
    <row r="763">
      <c r="B763" s="170"/>
    </row>
    <row r="764">
      <c r="B764" s="170"/>
    </row>
    <row r="765">
      <c r="B765" s="170"/>
    </row>
    <row r="766">
      <c r="B766" s="170"/>
    </row>
    <row r="767">
      <c r="B767" s="170"/>
    </row>
    <row r="768">
      <c r="B768" s="170"/>
    </row>
    <row r="769">
      <c r="B769" s="170"/>
    </row>
    <row r="770">
      <c r="B770" s="170"/>
    </row>
    <row r="771">
      <c r="B771" s="170"/>
    </row>
    <row r="772">
      <c r="B772" s="170"/>
    </row>
    <row r="773">
      <c r="B773" s="170"/>
    </row>
    <row r="774">
      <c r="B774" s="170"/>
    </row>
    <row r="775">
      <c r="B775" s="170"/>
    </row>
    <row r="776">
      <c r="B776" s="170"/>
    </row>
    <row r="777">
      <c r="B777" s="170"/>
    </row>
    <row r="778">
      <c r="B778" s="170"/>
    </row>
    <row r="779">
      <c r="B779" s="170"/>
    </row>
    <row r="780">
      <c r="B780" s="170"/>
    </row>
    <row r="781">
      <c r="B781" s="170"/>
    </row>
    <row r="782">
      <c r="B782" s="170"/>
    </row>
    <row r="783">
      <c r="B783" s="170"/>
    </row>
    <row r="784">
      <c r="B784" s="170"/>
    </row>
    <row r="785">
      <c r="B785" s="170"/>
    </row>
    <row r="786">
      <c r="B786" s="170"/>
    </row>
    <row r="787">
      <c r="B787" s="170"/>
    </row>
    <row r="788">
      <c r="B788" s="170"/>
    </row>
    <row r="789">
      <c r="B789" s="170"/>
    </row>
    <row r="790">
      <c r="B790" s="170"/>
    </row>
    <row r="791">
      <c r="B791" s="170"/>
    </row>
    <row r="792">
      <c r="B792" s="170"/>
    </row>
    <row r="793">
      <c r="B793" s="170"/>
    </row>
    <row r="794">
      <c r="B794" s="170"/>
    </row>
    <row r="795">
      <c r="B795" s="170"/>
    </row>
    <row r="796">
      <c r="B796" s="170"/>
    </row>
    <row r="797">
      <c r="B797" s="170"/>
    </row>
    <row r="798">
      <c r="B798" s="170"/>
    </row>
    <row r="799">
      <c r="B799" s="170"/>
    </row>
    <row r="800">
      <c r="B800" s="170"/>
    </row>
    <row r="801">
      <c r="B801" s="170"/>
    </row>
    <row r="802">
      <c r="B802" s="170"/>
    </row>
    <row r="803">
      <c r="B803" s="170"/>
    </row>
    <row r="804">
      <c r="B804" s="170"/>
    </row>
    <row r="805">
      <c r="B805" s="170"/>
    </row>
    <row r="806">
      <c r="B806" s="170"/>
    </row>
    <row r="807">
      <c r="B807" s="170"/>
    </row>
    <row r="808">
      <c r="B808" s="170"/>
    </row>
    <row r="809">
      <c r="B809" s="170"/>
    </row>
    <row r="810">
      <c r="B810" s="170"/>
    </row>
    <row r="811">
      <c r="B811" s="170"/>
    </row>
    <row r="812">
      <c r="B812" s="170"/>
    </row>
    <row r="813">
      <c r="B813" s="170"/>
    </row>
    <row r="814">
      <c r="B814" s="170"/>
    </row>
    <row r="815">
      <c r="B815" s="170"/>
    </row>
    <row r="816">
      <c r="B816" s="170"/>
    </row>
    <row r="817">
      <c r="B817" s="170"/>
    </row>
    <row r="818">
      <c r="B818" s="170"/>
    </row>
    <row r="819">
      <c r="B819" s="170"/>
    </row>
    <row r="820">
      <c r="B820" s="170"/>
    </row>
    <row r="821">
      <c r="B821" s="170"/>
    </row>
    <row r="822">
      <c r="B822" s="170"/>
    </row>
    <row r="823">
      <c r="B823" s="170"/>
    </row>
    <row r="824">
      <c r="B824" s="170"/>
    </row>
    <row r="825">
      <c r="B825" s="170"/>
    </row>
    <row r="826">
      <c r="B826" s="170"/>
    </row>
    <row r="827">
      <c r="B827" s="170"/>
    </row>
    <row r="828">
      <c r="B828" s="170"/>
    </row>
    <row r="829">
      <c r="B829" s="170"/>
    </row>
    <row r="830">
      <c r="B830" s="170"/>
    </row>
    <row r="831">
      <c r="B831" s="170"/>
    </row>
    <row r="832">
      <c r="B832" s="170"/>
    </row>
    <row r="833">
      <c r="B833" s="170"/>
    </row>
    <row r="834">
      <c r="B834" s="170"/>
    </row>
    <row r="835">
      <c r="B835" s="170"/>
    </row>
    <row r="836">
      <c r="B836" s="170"/>
    </row>
    <row r="837">
      <c r="B837" s="170"/>
    </row>
    <row r="838">
      <c r="B838" s="170"/>
    </row>
    <row r="839">
      <c r="B839" s="170"/>
    </row>
    <row r="840">
      <c r="B840" s="170"/>
    </row>
    <row r="841">
      <c r="B841" s="170"/>
    </row>
    <row r="842">
      <c r="B842" s="170"/>
    </row>
    <row r="843">
      <c r="B843" s="170"/>
    </row>
    <row r="844">
      <c r="B844" s="170"/>
    </row>
    <row r="845">
      <c r="B845" s="170"/>
    </row>
    <row r="846">
      <c r="B846" s="170"/>
    </row>
    <row r="847">
      <c r="B847" s="170"/>
    </row>
    <row r="848">
      <c r="B848" s="170"/>
    </row>
    <row r="849">
      <c r="B849" s="170"/>
    </row>
    <row r="850">
      <c r="B850" s="170"/>
    </row>
    <row r="851">
      <c r="B851" s="170"/>
    </row>
    <row r="852">
      <c r="B852" s="170"/>
    </row>
    <row r="853">
      <c r="B853" s="170"/>
    </row>
    <row r="854">
      <c r="B854" s="170"/>
    </row>
    <row r="855">
      <c r="B855" s="170"/>
    </row>
    <row r="856">
      <c r="B856" s="170"/>
    </row>
    <row r="857">
      <c r="B857" s="170"/>
    </row>
    <row r="858">
      <c r="B858" s="170"/>
    </row>
    <row r="859">
      <c r="B859" s="170"/>
    </row>
    <row r="860">
      <c r="B860" s="170"/>
    </row>
    <row r="861">
      <c r="B861" s="170"/>
    </row>
    <row r="862">
      <c r="B862" s="170"/>
    </row>
    <row r="863">
      <c r="B863" s="170"/>
    </row>
    <row r="864">
      <c r="B864" s="170"/>
    </row>
    <row r="865">
      <c r="B865" s="170"/>
    </row>
    <row r="866">
      <c r="B866" s="170"/>
    </row>
    <row r="867">
      <c r="B867" s="170"/>
    </row>
    <row r="868">
      <c r="B868" s="170"/>
    </row>
    <row r="869">
      <c r="B869" s="170"/>
    </row>
    <row r="870">
      <c r="B870" s="170"/>
    </row>
    <row r="871">
      <c r="B871" s="170"/>
    </row>
    <row r="872">
      <c r="B872" s="170"/>
    </row>
    <row r="873">
      <c r="B873" s="170"/>
    </row>
    <row r="874">
      <c r="B874" s="170"/>
    </row>
    <row r="875">
      <c r="B875" s="170"/>
    </row>
    <row r="876">
      <c r="B876" s="170"/>
    </row>
    <row r="877">
      <c r="B877" s="170"/>
    </row>
    <row r="878">
      <c r="B878" s="170"/>
    </row>
    <row r="879">
      <c r="B879" s="170"/>
    </row>
    <row r="880">
      <c r="B880" s="170"/>
    </row>
    <row r="881">
      <c r="B881" s="170"/>
    </row>
    <row r="882">
      <c r="B882" s="170"/>
    </row>
    <row r="883">
      <c r="B883" s="170"/>
    </row>
    <row r="884">
      <c r="B884" s="170"/>
    </row>
    <row r="885">
      <c r="B885" s="170"/>
    </row>
    <row r="886">
      <c r="B886" s="170"/>
    </row>
    <row r="887">
      <c r="B887" s="170"/>
    </row>
    <row r="888">
      <c r="B888" s="170"/>
    </row>
    <row r="889">
      <c r="B889" s="170"/>
    </row>
    <row r="890">
      <c r="B890" s="170"/>
    </row>
    <row r="891">
      <c r="B891" s="170"/>
    </row>
    <row r="892">
      <c r="B892" s="170"/>
    </row>
    <row r="893">
      <c r="B893" s="170"/>
    </row>
    <row r="894">
      <c r="B894" s="170"/>
    </row>
    <row r="895">
      <c r="B895" s="170"/>
    </row>
    <row r="896">
      <c r="B896" s="170"/>
    </row>
    <row r="897">
      <c r="B897" s="170"/>
    </row>
    <row r="898">
      <c r="B898" s="170"/>
    </row>
    <row r="899">
      <c r="B899" s="170"/>
    </row>
    <row r="900">
      <c r="B900" s="170"/>
    </row>
    <row r="901">
      <c r="B901" s="170"/>
    </row>
    <row r="902">
      <c r="B902" s="170"/>
    </row>
    <row r="903">
      <c r="B903" s="170"/>
    </row>
    <row r="904">
      <c r="B904" s="170"/>
    </row>
    <row r="905">
      <c r="B905" s="170"/>
    </row>
    <row r="906">
      <c r="B906" s="170"/>
    </row>
    <row r="907">
      <c r="B907" s="170"/>
    </row>
    <row r="908">
      <c r="B908" s="170"/>
    </row>
    <row r="909">
      <c r="B909" s="170"/>
    </row>
    <row r="910">
      <c r="B910" s="170"/>
    </row>
    <row r="911">
      <c r="B911" s="170"/>
    </row>
    <row r="912">
      <c r="B912" s="170"/>
    </row>
    <row r="913">
      <c r="B913" s="170"/>
    </row>
    <row r="914">
      <c r="B914" s="170"/>
    </row>
    <row r="915">
      <c r="B915" s="170"/>
    </row>
    <row r="916">
      <c r="B916" s="170"/>
    </row>
    <row r="917">
      <c r="B917" s="170"/>
    </row>
    <row r="918">
      <c r="B918" s="170"/>
    </row>
    <row r="919">
      <c r="B919" s="170"/>
    </row>
    <row r="920">
      <c r="B920" s="170"/>
    </row>
    <row r="921">
      <c r="B921" s="170"/>
    </row>
    <row r="922">
      <c r="B922" s="170"/>
    </row>
    <row r="923">
      <c r="B923" s="170"/>
    </row>
    <row r="924">
      <c r="B924" s="170"/>
    </row>
    <row r="925">
      <c r="B925" s="170"/>
    </row>
    <row r="926">
      <c r="B926" s="170"/>
    </row>
    <row r="927">
      <c r="B927" s="170"/>
    </row>
    <row r="928">
      <c r="B928" s="170"/>
    </row>
    <row r="929">
      <c r="B929" s="170"/>
    </row>
    <row r="930">
      <c r="B930" s="170"/>
    </row>
    <row r="931">
      <c r="B931" s="170"/>
    </row>
    <row r="932">
      <c r="B932" s="170"/>
    </row>
    <row r="933">
      <c r="B933" s="170"/>
    </row>
    <row r="934">
      <c r="B934" s="170"/>
    </row>
    <row r="935">
      <c r="B935" s="170"/>
    </row>
    <row r="936">
      <c r="B936" s="170"/>
    </row>
    <row r="937">
      <c r="B937" s="170"/>
    </row>
    <row r="938">
      <c r="B938" s="170"/>
    </row>
    <row r="939">
      <c r="B939" s="170"/>
    </row>
    <row r="940">
      <c r="B940" s="170"/>
    </row>
    <row r="941">
      <c r="B941" s="170"/>
    </row>
    <row r="942">
      <c r="B942" s="170"/>
    </row>
    <row r="943">
      <c r="B943" s="170"/>
    </row>
    <row r="944">
      <c r="B944" s="170"/>
    </row>
    <row r="945">
      <c r="B945" s="170"/>
    </row>
    <row r="946">
      <c r="B946" s="170"/>
    </row>
    <row r="947">
      <c r="B947" s="170"/>
    </row>
    <row r="948">
      <c r="B948" s="170"/>
    </row>
    <row r="949">
      <c r="B949" s="170"/>
    </row>
    <row r="950">
      <c r="B950" s="170"/>
    </row>
    <row r="951">
      <c r="B951" s="170"/>
    </row>
    <row r="952">
      <c r="B952" s="170"/>
    </row>
    <row r="953">
      <c r="B953" s="170"/>
    </row>
    <row r="954">
      <c r="B954" s="170"/>
    </row>
    <row r="955">
      <c r="B955" s="170"/>
    </row>
    <row r="956">
      <c r="B956" s="170"/>
    </row>
    <row r="957">
      <c r="B957" s="170"/>
    </row>
    <row r="958">
      <c r="B958" s="170"/>
    </row>
    <row r="959">
      <c r="B959" s="170"/>
    </row>
    <row r="960">
      <c r="B960" s="170"/>
    </row>
    <row r="961">
      <c r="B961" s="170"/>
    </row>
    <row r="962">
      <c r="B962" s="170"/>
    </row>
    <row r="963">
      <c r="B963" s="170"/>
    </row>
    <row r="964">
      <c r="B964" s="170"/>
    </row>
    <row r="965">
      <c r="B965" s="170"/>
    </row>
    <row r="966">
      <c r="B966" s="170"/>
    </row>
    <row r="967">
      <c r="B967" s="170"/>
    </row>
    <row r="968">
      <c r="B968" s="170"/>
    </row>
    <row r="969">
      <c r="B969" s="170"/>
    </row>
    <row r="970">
      <c r="B970" s="170"/>
    </row>
    <row r="971">
      <c r="B971" s="170"/>
    </row>
    <row r="972">
      <c r="B972" s="170"/>
    </row>
    <row r="973">
      <c r="B973" s="170"/>
    </row>
    <row r="974">
      <c r="B974" s="170"/>
    </row>
    <row r="975">
      <c r="B975" s="170"/>
    </row>
    <row r="976">
      <c r="B976" s="170"/>
    </row>
    <row r="977">
      <c r="B977" s="170"/>
    </row>
    <row r="978">
      <c r="B978" s="170"/>
    </row>
    <row r="979">
      <c r="B979" s="170"/>
    </row>
    <row r="980">
      <c r="B980" s="170"/>
    </row>
    <row r="981">
      <c r="B981" s="170"/>
    </row>
    <row r="982">
      <c r="B982" s="170"/>
    </row>
    <row r="983">
      <c r="B983" s="170"/>
    </row>
    <row r="984">
      <c r="B984" s="170"/>
    </row>
    <row r="985">
      <c r="B985" s="170"/>
    </row>
    <row r="986">
      <c r="B986" s="170"/>
    </row>
    <row r="987">
      <c r="B987" s="170"/>
    </row>
    <row r="988">
      <c r="B988" s="170"/>
    </row>
    <row r="989">
      <c r="B989" s="170"/>
    </row>
    <row r="990">
      <c r="B990" s="170"/>
    </row>
    <row r="991">
      <c r="B991" s="170"/>
    </row>
    <row r="992">
      <c r="B992" s="170"/>
    </row>
    <row r="993">
      <c r="B993" s="170"/>
    </row>
    <row r="994">
      <c r="B994" s="170"/>
    </row>
    <row r="995">
      <c r="B995" s="170"/>
    </row>
    <row r="996">
      <c r="B996" s="170"/>
    </row>
    <row r="997">
      <c r="B997" s="170"/>
    </row>
    <row r="998">
      <c r="B998" s="170"/>
    </row>
    <row r="999">
      <c r="B999" s="170"/>
    </row>
    <row r="1000">
      <c r="B1000" s="170"/>
    </row>
    <row r="1001">
      <c r="B1001" s="170"/>
    </row>
    <row r="1002">
      <c r="B1002" s="170"/>
    </row>
    <row r="1003">
      <c r="B1003" s="170"/>
    </row>
    <row r="1004">
      <c r="B1004" s="170"/>
    </row>
    <row r="1005">
      <c r="B1005" s="170"/>
    </row>
    <row r="1006">
      <c r="B1006" s="170"/>
    </row>
    <row r="1007">
      <c r="B1007" s="170"/>
    </row>
    <row r="1008">
      <c r="B1008" s="170"/>
    </row>
    <row r="1009">
      <c r="B1009" s="170"/>
    </row>
    <row r="1010">
      <c r="B1010" s="170"/>
    </row>
    <row r="1011">
      <c r="B1011" s="170"/>
    </row>
    <row r="1012">
      <c r="B1012" s="170"/>
    </row>
    <row r="1013">
      <c r="B1013" s="170"/>
    </row>
    <row r="1014">
      <c r="B1014" s="170"/>
    </row>
    <row r="1015">
      <c r="B1015" s="170"/>
    </row>
    <row r="1016">
      <c r="B1016" s="170"/>
    </row>
    <row r="1017">
      <c r="B1017" s="170"/>
    </row>
    <row r="1018">
      <c r="B1018" s="170"/>
    </row>
    <row r="1019">
      <c r="B1019" s="170"/>
    </row>
    <row r="1020">
      <c r="B1020" s="170"/>
    </row>
    <row r="1021">
      <c r="B1021" s="170"/>
    </row>
    <row r="1022">
      <c r="B1022" s="170"/>
    </row>
    <row r="1023">
      <c r="B1023" s="170"/>
    </row>
    <row r="1024">
      <c r="B1024" s="170"/>
    </row>
    <row r="1025">
      <c r="B1025" s="170"/>
    </row>
    <row r="1026">
      <c r="B1026" s="170"/>
    </row>
    <row r="1027">
      <c r="B1027" s="170"/>
    </row>
    <row r="1028">
      <c r="B1028" s="170"/>
    </row>
    <row r="1029">
      <c r="B1029" s="170"/>
    </row>
    <row r="1030">
      <c r="B1030" s="170"/>
    </row>
    <row r="1031">
      <c r="B1031" s="170"/>
    </row>
    <row r="1032">
      <c r="B1032" s="170"/>
    </row>
    <row r="1033">
      <c r="B1033" s="170"/>
    </row>
    <row r="1034">
      <c r="B1034" s="170"/>
    </row>
    <row r="1035">
      <c r="B1035" s="170"/>
    </row>
    <row r="1036">
      <c r="B1036" s="170"/>
    </row>
    <row r="1037">
      <c r="B1037" s="170"/>
    </row>
    <row r="1038">
      <c r="B1038" s="170"/>
    </row>
    <row r="1039">
      <c r="B1039" s="170"/>
    </row>
    <row r="1040">
      <c r="B1040" s="170"/>
    </row>
    <row r="1041">
      <c r="B1041" s="170"/>
    </row>
    <row r="1042">
      <c r="B1042" s="170"/>
    </row>
    <row r="1043">
      <c r="B1043" s="170"/>
    </row>
    <row r="1044">
      <c r="B1044" s="170"/>
    </row>
    <row r="1045">
      <c r="B1045" s="170"/>
    </row>
    <row r="1046">
      <c r="B1046" s="170"/>
    </row>
    <row r="1047">
      <c r="B1047" s="170"/>
    </row>
    <row r="1048">
      <c r="B1048" s="170"/>
    </row>
    <row r="1049">
      <c r="B1049" s="170"/>
    </row>
    <row r="1050">
      <c r="B1050" s="170"/>
    </row>
    <row r="1051">
      <c r="B1051" s="170"/>
    </row>
    <row r="1052">
      <c r="B1052" s="170"/>
    </row>
    <row r="1053">
      <c r="B1053" s="170"/>
    </row>
    <row r="1054">
      <c r="B1054" s="170"/>
    </row>
    <row r="1055">
      <c r="B1055" s="170"/>
    </row>
    <row r="1056">
      <c r="B1056" s="170"/>
    </row>
    <row r="1057">
      <c r="B1057" s="170"/>
    </row>
    <row r="1058">
      <c r="B1058" s="170"/>
    </row>
    <row r="1059">
      <c r="B1059" s="170"/>
    </row>
    <row r="1060">
      <c r="B1060" s="170"/>
    </row>
    <row r="1061">
      <c r="B1061" s="170"/>
    </row>
    <row r="1062">
      <c r="B1062" s="170"/>
    </row>
    <row r="1063">
      <c r="B1063" s="170"/>
    </row>
    <row r="1064">
      <c r="B1064" s="170"/>
    </row>
    <row r="1065">
      <c r="B1065" s="170"/>
    </row>
    <row r="1066">
      <c r="B1066" s="170"/>
    </row>
    <row r="1067">
      <c r="B1067" s="170"/>
    </row>
    <row r="1068">
      <c r="B1068" s="170"/>
    </row>
    <row r="1069">
      <c r="B1069" s="170"/>
    </row>
    <row r="1070">
      <c r="B1070" s="170"/>
    </row>
    <row r="1071">
      <c r="B1071" s="170"/>
    </row>
    <row r="1072">
      <c r="B1072" s="170"/>
    </row>
    <row r="1073">
      <c r="B1073" s="170"/>
    </row>
    <row r="1074">
      <c r="B1074" s="170"/>
    </row>
    <row r="1075">
      <c r="B1075" s="170"/>
    </row>
    <row r="1076">
      <c r="B1076" s="170"/>
    </row>
    <row r="1077">
      <c r="B1077" s="170"/>
    </row>
    <row r="1078">
      <c r="B1078" s="170"/>
    </row>
    <row r="1079">
      <c r="B1079" s="170"/>
    </row>
    <row r="1080">
      <c r="B1080" s="170"/>
    </row>
    <row r="1081">
      <c r="B1081" s="170"/>
    </row>
    <row r="1082">
      <c r="B1082" s="170"/>
    </row>
    <row r="1083">
      <c r="B1083" s="170"/>
    </row>
    <row r="1084">
      <c r="B1084" s="170"/>
    </row>
    <row r="1085">
      <c r="B1085" s="170"/>
    </row>
    <row r="1086">
      <c r="B1086" s="170"/>
    </row>
    <row r="1087">
      <c r="B1087" s="170"/>
    </row>
    <row r="1088">
      <c r="B1088" s="170"/>
    </row>
    <row r="1089">
      <c r="B1089" s="170"/>
    </row>
    <row r="1090">
      <c r="B1090" s="170"/>
    </row>
    <row r="1091">
      <c r="B1091" s="170"/>
    </row>
    <row r="1092">
      <c r="B1092" s="170"/>
    </row>
    <row r="1093">
      <c r="B1093" s="170"/>
    </row>
    <row r="1094">
      <c r="B1094" s="170"/>
    </row>
    <row r="1095">
      <c r="B1095" s="170"/>
    </row>
    <row r="1096">
      <c r="B1096" s="170"/>
    </row>
    <row r="1097">
      <c r="B1097" s="170"/>
    </row>
    <row r="1098">
      <c r="B1098" s="170"/>
    </row>
    <row r="1099">
      <c r="B1099" s="170"/>
    </row>
    <row r="1100">
      <c r="B1100" s="170"/>
    </row>
    <row r="1101">
      <c r="B1101" s="170"/>
    </row>
    <row r="1102">
      <c r="B1102" s="170"/>
    </row>
    <row r="1103">
      <c r="B1103" s="170"/>
    </row>
    <row r="1104">
      <c r="B1104" s="170"/>
    </row>
    <row r="1105">
      <c r="B1105" s="170"/>
    </row>
    <row r="1106">
      <c r="B1106" s="170"/>
    </row>
    <row r="1107">
      <c r="B1107" s="170"/>
    </row>
    <row r="1108">
      <c r="B1108" s="170"/>
    </row>
    <row r="1109">
      <c r="B1109" s="170"/>
    </row>
    <row r="1110">
      <c r="B1110" s="170"/>
    </row>
    <row r="1111">
      <c r="B1111" s="170"/>
    </row>
    <row r="1112">
      <c r="B1112" s="170"/>
    </row>
    <row r="1113">
      <c r="B1113" s="170"/>
    </row>
    <row r="1114">
      <c r="B1114" s="170"/>
    </row>
    <row r="1115">
      <c r="B1115" s="170"/>
    </row>
    <row r="1116">
      <c r="B1116" s="170"/>
    </row>
    <row r="1117">
      <c r="B1117" s="170"/>
    </row>
    <row r="1118">
      <c r="B1118" s="170"/>
    </row>
    <row r="1119">
      <c r="B1119" s="170"/>
    </row>
    <row r="1120">
      <c r="B1120" s="170"/>
    </row>
    <row r="1121">
      <c r="B1121" s="170"/>
    </row>
    <row r="1122">
      <c r="B1122" s="170"/>
    </row>
    <row r="1123">
      <c r="B1123" s="170"/>
    </row>
    <row r="1124">
      <c r="B1124" s="170"/>
    </row>
    <row r="1125">
      <c r="B1125" s="170"/>
    </row>
    <row r="1126">
      <c r="B1126" s="170"/>
    </row>
    <row r="1127">
      <c r="B1127" s="170"/>
    </row>
    <row r="1128">
      <c r="B1128" s="170"/>
    </row>
    <row r="1129">
      <c r="B1129" s="170"/>
    </row>
    <row r="1130">
      <c r="B1130" s="170"/>
    </row>
    <row r="1131">
      <c r="B1131" s="170"/>
    </row>
    <row r="1132">
      <c r="B1132" s="170"/>
    </row>
    <row r="1133">
      <c r="B1133" s="170"/>
    </row>
    <row r="1134">
      <c r="B1134" s="170"/>
    </row>
    <row r="1135">
      <c r="B1135" s="170"/>
    </row>
    <row r="1136">
      <c r="B1136" s="170"/>
    </row>
    <row r="1137">
      <c r="B1137" s="170"/>
    </row>
    <row r="1138">
      <c r="B1138" s="170"/>
    </row>
    <row r="1139">
      <c r="B1139" s="170"/>
    </row>
    <row r="1140">
      <c r="B1140" s="170"/>
    </row>
    <row r="1141">
      <c r="B1141" s="170"/>
    </row>
    <row r="1142">
      <c r="B1142" s="170"/>
    </row>
    <row r="1143">
      <c r="B1143" s="170"/>
    </row>
    <row r="1144">
      <c r="B1144" s="170"/>
    </row>
    <row r="1145">
      <c r="B1145" s="170"/>
    </row>
    <row r="1146">
      <c r="B1146" s="170"/>
    </row>
    <row r="1147">
      <c r="B1147" s="170"/>
    </row>
    <row r="1148">
      <c r="B1148" s="170"/>
    </row>
    <row r="1149">
      <c r="B1149" s="170"/>
    </row>
    <row r="1150">
      <c r="B1150" s="170"/>
    </row>
    <row r="1151">
      <c r="B1151" s="170"/>
    </row>
    <row r="1152">
      <c r="B1152" s="170"/>
    </row>
    <row r="1153">
      <c r="B1153" s="170"/>
    </row>
    <row r="1154">
      <c r="B1154" s="170"/>
    </row>
    <row r="1155">
      <c r="B1155" s="170"/>
    </row>
    <row r="1156">
      <c r="B1156" s="170"/>
    </row>
    <row r="1157">
      <c r="B1157" s="170"/>
    </row>
    <row r="1158">
      <c r="B1158" s="170"/>
    </row>
    <row r="1159">
      <c r="B1159" s="170"/>
    </row>
    <row r="1160">
      <c r="B1160" s="170"/>
    </row>
    <row r="1161">
      <c r="B1161" s="170"/>
    </row>
    <row r="1162">
      <c r="B1162" s="170"/>
    </row>
    <row r="1163">
      <c r="B1163" s="170"/>
    </row>
    <row r="1164">
      <c r="B1164" s="170"/>
    </row>
    <row r="1165">
      <c r="B1165" s="170"/>
    </row>
    <row r="1166">
      <c r="B1166" s="170"/>
    </row>
    <row r="1167">
      <c r="B1167" s="170"/>
    </row>
    <row r="1168">
      <c r="B1168" s="170"/>
    </row>
    <row r="1169">
      <c r="B1169" s="170"/>
    </row>
    <row r="1170">
      <c r="B1170" s="170"/>
    </row>
    <row r="1171">
      <c r="B1171" s="170"/>
    </row>
    <row r="1172">
      <c r="B1172" s="170"/>
    </row>
    <row r="1173">
      <c r="B1173" s="170"/>
    </row>
    <row r="1174">
      <c r="B1174" s="170"/>
    </row>
    <row r="1175">
      <c r="B1175" s="170"/>
    </row>
    <row r="1176">
      <c r="B1176" s="170"/>
    </row>
    <row r="1177">
      <c r="B1177" s="170"/>
    </row>
    <row r="1178">
      <c r="B1178" s="170"/>
    </row>
    <row r="1179">
      <c r="B1179" s="170"/>
    </row>
    <row r="1180">
      <c r="B1180" s="170"/>
    </row>
    <row r="1181">
      <c r="B1181" s="170"/>
    </row>
    <row r="1182">
      <c r="B1182" s="170"/>
    </row>
    <row r="1183">
      <c r="B1183" s="170"/>
    </row>
    <row r="1184">
      <c r="B1184" s="170"/>
    </row>
    <row r="1185">
      <c r="B1185" s="170"/>
    </row>
    <row r="1186">
      <c r="B1186" s="170"/>
    </row>
    <row r="1187">
      <c r="B1187" s="170"/>
    </row>
    <row r="1188">
      <c r="B1188" s="170"/>
    </row>
    <row r="1189">
      <c r="B1189" s="170"/>
    </row>
    <row r="1190">
      <c r="B1190" s="170"/>
    </row>
    <row r="1191">
      <c r="B1191" s="170"/>
    </row>
    <row r="1192">
      <c r="B1192" s="170"/>
    </row>
    <row r="1193">
      <c r="B1193" s="170"/>
    </row>
    <row r="1194">
      <c r="B1194" s="170"/>
    </row>
    <row r="1195">
      <c r="B1195" s="170"/>
    </row>
    <row r="1196">
      <c r="B1196" s="170"/>
    </row>
    <row r="1197">
      <c r="B1197" s="170"/>
    </row>
    <row r="1198">
      <c r="B1198" s="170"/>
    </row>
    <row r="1199">
      <c r="B1199" s="170"/>
    </row>
    <row r="1200">
      <c r="B1200" s="170"/>
    </row>
    <row r="1201">
      <c r="B1201" s="170"/>
    </row>
    <row r="1202">
      <c r="B1202" s="170"/>
    </row>
    <row r="1203">
      <c r="B1203" s="170"/>
    </row>
    <row r="1204">
      <c r="B1204" s="170"/>
    </row>
    <row r="1205">
      <c r="B1205" s="170"/>
    </row>
    <row r="1206">
      <c r="B1206" s="170"/>
    </row>
    <row r="1207">
      <c r="B1207" s="170"/>
    </row>
    <row r="1208">
      <c r="B1208" s="170"/>
    </row>
    <row r="1209">
      <c r="B1209" s="170"/>
    </row>
    <row r="1210">
      <c r="B1210" s="170"/>
    </row>
    <row r="1211">
      <c r="B1211" s="170"/>
    </row>
    <row r="1212">
      <c r="B1212" s="170"/>
    </row>
    <row r="1213">
      <c r="B1213" s="170"/>
    </row>
    <row r="1214">
      <c r="B1214" s="170"/>
    </row>
    <row r="1215">
      <c r="B1215" s="170"/>
    </row>
    <row r="1216">
      <c r="B1216" s="170"/>
    </row>
    <row r="1217">
      <c r="B1217" s="170"/>
    </row>
    <row r="1218">
      <c r="B1218" s="170"/>
    </row>
    <row r="1219">
      <c r="B1219" s="170"/>
    </row>
    <row r="1220">
      <c r="B1220" s="170"/>
    </row>
    <row r="1221">
      <c r="B1221" s="170"/>
    </row>
    <row r="1222">
      <c r="B1222" s="170"/>
    </row>
    <row r="1223">
      <c r="B1223" s="170"/>
    </row>
    <row r="1224">
      <c r="B1224" s="170"/>
    </row>
    <row r="1225">
      <c r="B1225" s="170"/>
    </row>
    <row r="1226">
      <c r="B1226" s="170"/>
    </row>
    <row r="1227">
      <c r="B1227" s="170"/>
    </row>
    <row r="1228">
      <c r="B1228" s="170"/>
    </row>
    <row r="1229">
      <c r="B1229" s="170"/>
    </row>
    <row r="1230">
      <c r="B1230" s="170"/>
    </row>
    <row r="1231">
      <c r="B1231" s="170"/>
    </row>
    <row r="1232">
      <c r="B1232" s="170"/>
    </row>
    <row r="1233">
      <c r="B1233" s="170"/>
    </row>
    <row r="1234">
      <c r="B1234" s="170"/>
    </row>
    <row r="1235">
      <c r="B1235" s="170"/>
    </row>
    <row r="1236">
      <c r="B1236" s="170"/>
    </row>
    <row r="1237">
      <c r="B1237" s="170"/>
    </row>
    <row r="1238">
      <c r="B1238" s="170"/>
    </row>
    <row r="1239">
      <c r="B1239" s="170"/>
    </row>
    <row r="1240">
      <c r="B1240" s="170"/>
    </row>
    <row r="1241">
      <c r="B1241" s="170"/>
    </row>
    <row r="1242">
      <c r="B1242" s="170"/>
    </row>
    <row r="1243">
      <c r="B1243" s="170"/>
    </row>
    <row r="1244">
      <c r="B1244" s="170"/>
    </row>
    <row r="1245">
      <c r="B1245" s="170"/>
    </row>
    <row r="1246">
      <c r="B1246" s="170"/>
    </row>
    <row r="1247">
      <c r="B1247" s="170"/>
    </row>
    <row r="1248">
      <c r="B1248" s="170"/>
    </row>
    <row r="1249">
      <c r="B1249" s="170"/>
    </row>
    <row r="1250">
      <c r="B1250" s="170"/>
    </row>
    <row r="1251">
      <c r="B1251" s="170"/>
    </row>
    <row r="1252">
      <c r="B1252" s="170"/>
    </row>
    <row r="1253">
      <c r="B1253" s="170"/>
    </row>
    <row r="1254">
      <c r="B1254" s="170"/>
    </row>
    <row r="1255">
      <c r="B1255" s="170"/>
    </row>
    <row r="1256">
      <c r="B1256" s="170"/>
    </row>
    <row r="1257">
      <c r="B1257" s="170"/>
    </row>
    <row r="1258">
      <c r="B1258" s="170"/>
    </row>
    <row r="1259">
      <c r="B1259" s="170"/>
    </row>
    <row r="1260">
      <c r="B1260" s="170"/>
    </row>
    <row r="1261">
      <c r="B1261" s="170"/>
    </row>
    <row r="1262">
      <c r="B1262" s="170"/>
    </row>
    <row r="1263">
      <c r="B1263" s="170"/>
    </row>
    <row r="1264">
      <c r="B1264" s="170"/>
    </row>
    <row r="1265">
      <c r="B1265" s="170"/>
    </row>
    <row r="1266">
      <c r="B1266" s="170"/>
    </row>
    <row r="1267">
      <c r="B1267" s="170"/>
    </row>
    <row r="1268">
      <c r="B1268" s="170"/>
    </row>
    <row r="1269">
      <c r="B1269" s="170"/>
    </row>
    <row r="1270">
      <c r="B1270" s="170"/>
    </row>
    <row r="1271">
      <c r="B1271" s="170"/>
    </row>
    <row r="1272">
      <c r="B1272" s="170"/>
    </row>
    <row r="1273">
      <c r="B1273" s="170"/>
    </row>
    <row r="1274">
      <c r="B1274" s="170"/>
    </row>
    <row r="1275">
      <c r="B1275" s="170"/>
    </row>
    <row r="1276">
      <c r="B1276" s="170"/>
    </row>
    <row r="1277">
      <c r="B1277" s="170"/>
    </row>
    <row r="1278">
      <c r="B1278" s="170"/>
    </row>
    <row r="1279">
      <c r="B1279" s="170"/>
    </row>
    <row r="1280">
      <c r="B1280" s="170"/>
    </row>
    <row r="1281">
      <c r="B1281" s="170"/>
    </row>
    <row r="1282">
      <c r="B1282" s="170"/>
    </row>
    <row r="1283">
      <c r="B1283" s="170"/>
    </row>
    <row r="1284">
      <c r="B1284" s="170"/>
    </row>
    <row r="1285">
      <c r="B1285" s="170"/>
    </row>
    <row r="1286">
      <c r="B1286" s="170"/>
    </row>
    <row r="1287">
      <c r="B1287" s="170"/>
    </row>
    <row r="1288">
      <c r="B1288" s="170"/>
    </row>
    <row r="1289">
      <c r="B1289" s="170"/>
    </row>
    <row r="1290">
      <c r="B1290" s="170"/>
    </row>
    <row r="1291">
      <c r="B1291" s="170"/>
    </row>
    <row r="1292">
      <c r="B1292" s="170"/>
    </row>
    <row r="1293">
      <c r="B1293" s="170"/>
    </row>
    <row r="1294">
      <c r="B1294" s="170"/>
    </row>
    <row r="1295">
      <c r="B1295" s="170"/>
    </row>
    <row r="1296">
      <c r="B1296" s="170"/>
    </row>
    <row r="1297">
      <c r="B1297" s="170"/>
    </row>
    <row r="1298">
      <c r="B1298" s="170"/>
    </row>
    <row r="1299">
      <c r="B1299" s="170"/>
    </row>
    <row r="1300">
      <c r="B1300" s="170"/>
    </row>
    <row r="1301">
      <c r="B1301" s="170"/>
    </row>
    <row r="1302">
      <c r="B1302" s="170"/>
    </row>
    <row r="1303">
      <c r="B1303" s="170"/>
    </row>
    <row r="1304">
      <c r="B1304" s="170"/>
    </row>
    <row r="1305">
      <c r="B1305" s="170"/>
    </row>
    <row r="1306">
      <c r="B1306" s="170"/>
    </row>
    <row r="1307">
      <c r="B1307" s="170"/>
    </row>
    <row r="1308">
      <c r="B1308" s="170"/>
    </row>
    <row r="1309">
      <c r="B1309" s="170"/>
    </row>
    <row r="1310">
      <c r="B1310" s="170"/>
    </row>
    <row r="1311">
      <c r="B1311" s="170"/>
    </row>
    <row r="1312">
      <c r="B1312" s="170"/>
    </row>
    <row r="1313">
      <c r="B1313" s="170"/>
    </row>
    <row r="1314">
      <c r="B1314" s="170"/>
    </row>
    <row r="1315">
      <c r="B1315" s="170"/>
    </row>
    <row r="1316">
      <c r="B1316" s="170"/>
    </row>
    <row r="1317">
      <c r="B1317" s="170"/>
    </row>
    <row r="1318">
      <c r="B1318" s="170"/>
    </row>
    <row r="1319">
      <c r="B1319" s="170"/>
    </row>
    <row r="1320">
      <c r="B1320" s="170"/>
    </row>
    <row r="1321">
      <c r="B1321" s="170"/>
    </row>
    <row r="1322">
      <c r="B1322" s="170"/>
    </row>
    <row r="1323">
      <c r="B1323" s="170"/>
    </row>
    <row r="1324">
      <c r="B1324" s="170"/>
    </row>
    <row r="1325">
      <c r="B1325" s="170"/>
    </row>
    <row r="1326">
      <c r="B1326" s="170"/>
    </row>
    <row r="1327">
      <c r="B1327" s="170"/>
    </row>
    <row r="1328">
      <c r="B1328" s="170"/>
    </row>
    <row r="1329">
      <c r="B1329" s="170"/>
    </row>
    <row r="1330">
      <c r="B1330" s="170"/>
    </row>
    <row r="1331">
      <c r="B1331" s="170"/>
    </row>
    <row r="1332">
      <c r="B1332" s="170"/>
    </row>
    <row r="1333">
      <c r="B1333" s="170"/>
    </row>
    <row r="1334">
      <c r="B1334" s="170"/>
    </row>
    <row r="1335">
      <c r="B1335" s="170"/>
    </row>
    <row r="1336">
      <c r="B1336" s="170"/>
    </row>
    <row r="1337">
      <c r="B1337" s="170"/>
    </row>
    <row r="1338">
      <c r="B1338" s="170"/>
    </row>
    <row r="1339">
      <c r="B1339" s="170"/>
    </row>
    <row r="1340">
      <c r="B1340" s="170"/>
    </row>
    <row r="1341">
      <c r="B1341" s="170"/>
    </row>
    <row r="1342">
      <c r="B1342" s="170"/>
    </row>
    <row r="1343">
      <c r="B1343" s="170"/>
    </row>
    <row r="1344">
      <c r="B1344" s="170"/>
    </row>
    <row r="1345">
      <c r="B1345" s="170"/>
    </row>
    <row r="1346">
      <c r="B1346" s="170"/>
    </row>
    <row r="1347">
      <c r="B1347" s="170"/>
    </row>
    <row r="1348">
      <c r="B1348" s="170"/>
    </row>
    <row r="1349">
      <c r="B1349" s="170"/>
    </row>
    <row r="1350">
      <c r="B1350" s="170"/>
    </row>
    <row r="1351">
      <c r="B1351" s="170"/>
    </row>
    <row r="1352">
      <c r="B1352" s="170"/>
    </row>
    <row r="1353">
      <c r="B1353" s="170"/>
    </row>
    <row r="1354">
      <c r="B1354" s="170"/>
    </row>
    <row r="1355">
      <c r="B1355" s="170"/>
    </row>
    <row r="1356">
      <c r="B1356" s="170"/>
    </row>
    <row r="1357">
      <c r="B1357" s="170"/>
    </row>
    <row r="1358">
      <c r="B1358" s="170"/>
    </row>
    <row r="1359">
      <c r="B1359" s="170"/>
    </row>
    <row r="1360">
      <c r="B1360" s="170"/>
    </row>
    <row r="1361">
      <c r="B1361" s="170"/>
    </row>
    <row r="1362">
      <c r="B1362" s="170"/>
    </row>
    <row r="1363">
      <c r="B1363" s="170"/>
    </row>
    <row r="1364">
      <c r="B1364" s="170"/>
    </row>
    <row r="1365">
      <c r="B1365" s="170"/>
    </row>
    <row r="1366">
      <c r="B1366" s="170"/>
    </row>
    <row r="1367">
      <c r="B1367" s="170"/>
    </row>
    <row r="1368">
      <c r="B1368" s="170"/>
    </row>
    <row r="1369">
      <c r="B1369" s="170"/>
    </row>
    <row r="1370">
      <c r="B1370" s="170"/>
    </row>
    <row r="1371">
      <c r="B1371" s="170"/>
    </row>
    <row r="1372">
      <c r="B1372" s="170"/>
    </row>
    <row r="1373">
      <c r="B1373" s="170"/>
    </row>
    <row r="1374">
      <c r="B1374" s="170"/>
    </row>
    <row r="1375">
      <c r="B1375" s="170"/>
    </row>
    <row r="1376">
      <c r="B1376" s="170"/>
    </row>
    <row r="1377">
      <c r="B1377" s="170"/>
    </row>
    <row r="1378">
      <c r="B1378" s="170"/>
    </row>
    <row r="1379">
      <c r="B1379" s="170"/>
    </row>
    <row r="1380">
      <c r="B1380" s="170"/>
    </row>
    <row r="1381">
      <c r="B1381" s="170"/>
    </row>
    <row r="1382">
      <c r="B1382" s="170"/>
    </row>
    <row r="1383">
      <c r="B1383" s="170"/>
    </row>
    <row r="1384">
      <c r="B1384" s="170"/>
    </row>
    <row r="1385">
      <c r="B1385" s="170"/>
    </row>
    <row r="1386">
      <c r="B1386" s="170"/>
    </row>
    <row r="1387">
      <c r="B1387" s="170"/>
    </row>
    <row r="1388">
      <c r="B1388" s="170"/>
    </row>
    <row r="1389">
      <c r="B1389" s="170"/>
    </row>
    <row r="1390">
      <c r="B1390" s="170"/>
    </row>
    <row r="1391">
      <c r="B1391" s="170"/>
    </row>
    <row r="1392">
      <c r="B1392" s="170"/>
    </row>
    <row r="1393">
      <c r="B1393" s="170"/>
    </row>
    <row r="1394">
      <c r="B1394" s="170"/>
    </row>
    <row r="1395">
      <c r="B1395" s="170"/>
    </row>
    <row r="1396">
      <c r="B1396" s="170"/>
    </row>
    <row r="1397">
      <c r="B1397" s="170"/>
    </row>
    <row r="1398">
      <c r="B1398" s="170"/>
    </row>
    <row r="1399">
      <c r="B1399" s="170"/>
    </row>
    <row r="1400">
      <c r="B1400" s="170"/>
    </row>
    <row r="1401">
      <c r="B1401" s="170"/>
    </row>
    <row r="1402">
      <c r="B1402" s="170"/>
    </row>
    <row r="1403">
      <c r="B1403" s="170"/>
    </row>
    <row r="1404">
      <c r="B1404" s="170"/>
    </row>
    <row r="1405">
      <c r="B1405" s="170"/>
    </row>
    <row r="1406">
      <c r="B1406" s="170"/>
    </row>
    <row r="1407">
      <c r="B1407" s="170"/>
    </row>
    <row r="1408">
      <c r="B1408" s="170"/>
    </row>
    <row r="1409">
      <c r="B1409" s="170"/>
    </row>
    <row r="1410">
      <c r="B1410" s="170"/>
    </row>
    <row r="1411">
      <c r="B1411" s="170"/>
    </row>
    <row r="1412">
      <c r="B1412" s="170"/>
    </row>
    <row r="1413">
      <c r="B1413" s="170"/>
    </row>
    <row r="1414">
      <c r="B1414" s="170"/>
    </row>
    <row r="1415">
      <c r="B1415" s="170"/>
    </row>
    <row r="1416">
      <c r="B1416" s="170"/>
    </row>
    <row r="1417">
      <c r="B1417" s="170"/>
    </row>
    <row r="1418">
      <c r="B1418" s="170"/>
    </row>
    <row r="1419">
      <c r="B1419" s="170"/>
    </row>
    <row r="1420">
      <c r="B1420" s="170"/>
    </row>
    <row r="1421">
      <c r="B1421" s="170"/>
    </row>
    <row r="1422">
      <c r="B1422" s="170"/>
    </row>
    <row r="1423">
      <c r="B1423" s="170"/>
    </row>
    <row r="1424">
      <c r="B1424" s="170"/>
    </row>
    <row r="1425">
      <c r="B1425" s="170"/>
    </row>
    <row r="1426">
      <c r="B1426" s="170"/>
    </row>
    <row r="1427">
      <c r="B1427" s="170"/>
    </row>
    <row r="1428">
      <c r="B1428" s="170"/>
    </row>
    <row r="1429">
      <c r="B1429" s="170"/>
    </row>
    <row r="1430">
      <c r="B1430" s="170"/>
    </row>
    <row r="1431">
      <c r="B1431" s="170"/>
    </row>
    <row r="1432">
      <c r="B1432" s="170"/>
    </row>
    <row r="1433">
      <c r="B1433" s="170"/>
    </row>
    <row r="1434">
      <c r="B1434" s="170"/>
    </row>
    <row r="1435">
      <c r="B1435" s="170"/>
    </row>
    <row r="1436">
      <c r="B1436" s="170"/>
    </row>
    <row r="1437">
      <c r="B1437" s="170"/>
    </row>
    <row r="1438">
      <c r="B1438" s="170"/>
    </row>
    <row r="1439">
      <c r="B1439" s="170"/>
    </row>
    <row r="1440">
      <c r="B1440" s="170"/>
    </row>
    <row r="1441">
      <c r="B1441" s="170"/>
    </row>
    <row r="1442">
      <c r="B1442" s="170"/>
    </row>
    <row r="1443">
      <c r="B1443" s="170"/>
    </row>
    <row r="1444">
      <c r="B1444" s="170"/>
    </row>
    <row r="1445">
      <c r="B1445" s="170"/>
    </row>
    <row r="1446">
      <c r="B1446" s="170"/>
    </row>
    <row r="1447">
      <c r="B1447" s="170"/>
    </row>
    <row r="1448">
      <c r="B1448" s="170"/>
    </row>
    <row r="1449">
      <c r="B1449" s="170"/>
    </row>
    <row r="1450">
      <c r="B1450" s="170"/>
    </row>
    <row r="1451">
      <c r="B1451" s="170"/>
    </row>
    <row r="1452">
      <c r="B1452" s="170"/>
    </row>
    <row r="1453">
      <c r="B1453" s="170"/>
    </row>
    <row r="1454">
      <c r="B1454" s="170"/>
    </row>
    <row r="1455">
      <c r="B1455" s="170"/>
    </row>
    <row r="1456">
      <c r="B1456" s="170"/>
    </row>
    <row r="1457">
      <c r="B1457" s="170"/>
    </row>
    <row r="1458">
      <c r="B1458" s="170"/>
    </row>
    <row r="1459">
      <c r="B1459" s="170"/>
    </row>
    <row r="1460">
      <c r="B1460" s="170"/>
    </row>
    <row r="1461">
      <c r="B1461" s="170"/>
    </row>
    <row r="1462">
      <c r="B1462" s="170"/>
    </row>
    <row r="1463">
      <c r="B1463" s="170"/>
    </row>
    <row r="1464">
      <c r="B1464" s="170"/>
    </row>
    <row r="1465">
      <c r="B1465" s="170"/>
    </row>
    <row r="1466">
      <c r="B1466" s="170"/>
    </row>
    <row r="1467">
      <c r="B1467" s="170"/>
    </row>
    <row r="1468">
      <c r="B1468" s="170"/>
    </row>
    <row r="1469">
      <c r="B1469" s="170"/>
    </row>
    <row r="1470">
      <c r="B1470" s="170"/>
    </row>
    <row r="1471">
      <c r="B1471" s="170"/>
    </row>
    <row r="1472">
      <c r="B1472" s="170"/>
    </row>
    <row r="1473">
      <c r="B1473" s="170"/>
    </row>
    <row r="1474">
      <c r="B1474" s="170"/>
    </row>
    <row r="1475">
      <c r="B1475" s="170"/>
    </row>
    <row r="1476">
      <c r="B1476" s="170"/>
    </row>
    <row r="1477">
      <c r="B1477" s="170"/>
    </row>
    <row r="1478">
      <c r="B1478" s="170"/>
    </row>
    <row r="1479">
      <c r="B1479" s="170"/>
    </row>
    <row r="1480">
      <c r="B1480" s="170"/>
    </row>
    <row r="1481">
      <c r="B1481" s="170"/>
    </row>
    <row r="1482">
      <c r="B1482" s="170"/>
    </row>
    <row r="1483">
      <c r="B1483" s="170"/>
    </row>
    <row r="1484">
      <c r="B1484" s="170"/>
    </row>
    <row r="1485">
      <c r="B1485" s="170"/>
    </row>
    <row r="1486">
      <c r="B1486" s="170"/>
    </row>
    <row r="1487">
      <c r="B1487" s="170"/>
    </row>
    <row r="1488">
      <c r="B1488" s="170"/>
    </row>
    <row r="1489">
      <c r="B1489" s="170"/>
    </row>
    <row r="1490">
      <c r="B1490" s="170"/>
    </row>
    <row r="1491">
      <c r="B1491" s="170"/>
    </row>
    <row r="1492">
      <c r="B1492" s="170"/>
    </row>
    <row r="1493">
      <c r="B1493" s="170"/>
    </row>
    <row r="1494">
      <c r="B1494" s="170"/>
    </row>
    <row r="1495">
      <c r="B1495" s="170"/>
    </row>
    <row r="1496">
      <c r="B1496" s="170"/>
    </row>
    <row r="1497">
      <c r="B1497" s="170"/>
    </row>
    <row r="1498">
      <c r="B1498" s="170"/>
    </row>
    <row r="1499">
      <c r="B1499" s="170"/>
    </row>
    <row r="1500">
      <c r="B1500" s="170"/>
    </row>
    <row r="1501">
      <c r="B1501" s="170"/>
    </row>
    <row r="1502">
      <c r="B1502" s="170"/>
    </row>
    <row r="1503">
      <c r="B1503" s="170"/>
    </row>
    <row r="1504">
      <c r="B1504" s="170"/>
    </row>
    <row r="1505">
      <c r="B1505" s="170"/>
    </row>
    <row r="1506">
      <c r="B1506" s="170"/>
    </row>
    <row r="1507">
      <c r="B1507" s="170"/>
    </row>
    <row r="1508">
      <c r="B1508" s="170"/>
    </row>
    <row r="1509">
      <c r="B1509" s="170"/>
    </row>
    <row r="1510">
      <c r="B1510" s="170"/>
    </row>
    <row r="1511">
      <c r="B1511" s="170"/>
    </row>
    <row r="1512">
      <c r="B1512" s="170"/>
    </row>
    <row r="1513">
      <c r="B1513" s="170"/>
    </row>
    <row r="1514">
      <c r="B1514" s="170"/>
    </row>
    <row r="1515">
      <c r="B1515" s="170"/>
    </row>
    <row r="1516">
      <c r="B1516" s="170"/>
    </row>
    <row r="1517">
      <c r="B1517" s="170"/>
    </row>
    <row r="1518">
      <c r="B1518" s="170"/>
    </row>
    <row r="1519">
      <c r="B1519" s="170"/>
    </row>
    <row r="1520">
      <c r="B1520" s="170"/>
    </row>
    <row r="1521">
      <c r="B1521" s="170"/>
    </row>
    <row r="1522">
      <c r="B1522" s="170"/>
    </row>
    <row r="1523">
      <c r="B1523" s="170"/>
    </row>
    <row r="1524">
      <c r="B1524" s="170"/>
    </row>
    <row r="1525">
      <c r="B1525" s="170"/>
    </row>
    <row r="1526">
      <c r="B1526" s="170"/>
    </row>
    <row r="1527">
      <c r="B1527" s="170"/>
    </row>
    <row r="1528">
      <c r="B1528" s="170"/>
    </row>
    <row r="1529">
      <c r="B1529" s="170"/>
    </row>
    <row r="1530">
      <c r="B1530" s="170"/>
    </row>
    <row r="1531">
      <c r="B1531" s="170"/>
    </row>
    <row r="1532">
      <c r="B1532" s="170"/>
    </row>
    <row r="1533">
      <c r="B1533" s="170"/>
    </row>
    <row r="1534">
      <c r="B1534" s="170"/>
    </row>
    <row r="1535">
      <c r="B1535" s="170"/>
    </row>
    <row r="1536">
      <c r="B1536" s="170"/>
    </row>
    <row r="1537">
      <c r="B1537" s="170"/>
    </row>
    <row r="1538">
      <c r="B1538" s="170"/>
    </row>
    <row r="1539">
      <c r="B1539" s="170"/>
    </row>
    <row r="1540">
      <c r="B1540" s="170"/>
    </row>
    <row r="1541">
      <c r="B1541" s="170"/>
    </row>
    <row r="1542">
      <c r="B1542" s="170"/>
    </row>
    <row r="1543">
      <c r="B1543" s="170"/>
    </row>
    <row r="1544">
      <c r="B1544" s="170"/>
    </row>
    <row r="1545">
      <c r="B1545" s="170"/>
    </row>
    <row r="1546">
      <c r="B1546" s="170"/>
    </row>
    <row r="1547">
      <c r="B1547" s="170"/>
    </row>
    <row r="1548">
      <c r="B1548" s="170"/>
    </row>
    <row r="1549">
      <c r="B1549" s="170"/>
    </row>
    <row r="1550">
      <c r="B1550" s="170"/>
    </row>
    <row r="1551">
      <c r="B1551" s="170"/>
    </row>
    <row r="1552">
      <c r="B1552" s="170"/>
    </row>
    <row r="1553">
      <c r="B1553" s="170"/>
    </row>
    <row r="1554">
      <c r="B1554" s="170"/>
    </row>
    <row r="1555">
      <c r="B1555" s="170"/>
    </row>
    <row r="1556">
      <c r="B1556" s="170"/>
    </row>
    <row r="1557">
      <c r="B1557" s="170"/>
    </row>
    <row r="1558">
      <c r="B1558" s="170"/>
    </row>
    <row r="1559">
      <c r="B1559" s="170"/>
    </row>
    <row r="1560">
      <c r="B1560" s="170"/>
    </row>
    <row r="1561">
      <c r="B1561" s="170"/>
    </row>
    <row r="1562">
      <c r="B1562" s="170"/>
    </row>
    <row r="1563">
      <c r="B1563" s="170"/>
    </row>
    <row r="1564">
      <c r="B1564" s="170"/>
    </row>
    <row r="1565">
      <c r="B1565" s="170"/>
    </row>
    <row r="1566">
      <c r="B1566" s="170"/>
    </row>
    <row r="1567">
      <c r="B1567" s="170"/>
    </row>
    <row r="1568">
      <c r="B1568" s="170"/>
    </row>
    <row r="1569">
      <c r="B1569" s="170"/>
    </row>
    <row r="1570">
      <c r="B1570" s="170"/>
    </row>
    <row r="1571">
      <c r="B1571" s="170"/>
    </row>
    <row r="1572">
      <c r="B1572" s="170"/>
    </row>
    <row r="1573">
      <c r="B1573" s="170"/>
    </row>
    <row r="1574">
      <c r="B1574" s="170"/>
    </row>
    <row r="1575">
      <c r="B1575" s="170"/>
    </row>
    <row r="1576">
      <c r="B1576" s="170"/>
    </row>
    <row r="1577">
      <c r="B1577" s="170"/>
    </row>
    <row r="1578">
      <c r="B1578" s="170"/>
    </row>
    <row r="1579">
      <c r="B1579" s="170"/>
    </row>
    <row r="1580">
      <c r="B1580" s="170"/>
    </row>
    <row r="1581">
      <c r="B1581" s="170"/>
    </row>
    <row r="1582">
      <c r="B1582" s="170"/>
    </row>
    <row r="1583">
      <c r="B1583" s="170"/>
    </row>
    <row r="1584">
      <c r="B1584" s="170"/>
    </row>
    <row r="1585">
      <c r="B1585" s="170"/>
    </row>
    <row r="1586">
      <c r="B1586" s="170"/>
    </row>
    <row r="1587">
      <c r="B1587" s="170"/>
    </row>
    <row r="1588">
      <c r="B1588" s="170"/>
    </row>
    <row r="1589">
      <c r="B1589" s="170"/>
    </row>
    <row r="1590">
      <c r="B1590" s="170"/>
    </row>
    <row r="1591">
      <c r="B1591" s="170"/>
    </row>
    <row r="1592">
      <c r="B1592" s="170"/>
    </row>
    <row r="1593">
      <c r="B1593" s="170"/>
    </row>
    <row r="1594">
      <c r="B1594" s="170"/>
    </row>
    <row r="1595">
      <c r="B1595" s="170"/>
    </row>
    <row r="1596">
      <c r="B1596" s="170"/>
    </row>
    <row r="1597">
      <c r="B1597" s="170"/>
    </row>
    <row r="1598">
      <c r="B1598" s="170"/>
    </row>
    <row r="1599">
      <c r="B1599" s="170"/>
    </row>
    <row r="1600">
      <c r="B1600" s="170"/>
    </row>
    <row r="1601">
      <c r="B1601" s="170"/>
    </row>
    <row r="1602">
      <c r="B1602" s="170"/>
    </row>
    <row r="1603">
      <c r="B1603" s="170"/>
    </row>
    <row r="1604">
      <c r="B1604" s="170"/>
    </row>
    <row r="1605">
      <c r="B1605" s="170"/>
    </row>
    <row r="1606">
      <c r="B1606" s="170"/>
    </row>
    <row r="1607">
      <c r="B1607" s="170"/>
    </row>
    <row r="1608">
      <c r="B1608" s="170"/>
    </row>
    <row r="1609">
      <c r="B1609" s="170"/>
    </row>
    <row r="1610">
      <c r="B1610" s="170"/>
    </row>
    <row r="1611">
      <c r="B1611" s="170"/>
    </row>
    <row r="1612">
      <c r="B1612" s="170"/>
    </row>
    <row r="1613">
      <c r="B1613" s="170"/>
    </row>
    <row r="1614">
      <c r="B1614" s="170"/>
    </row>
    <row r="1615">
      <c r="B1615" s="170"/>
    </row>
    <row r="1616">
      <c r="B1616" s="170"/>
    </row>
    <row r="1617">
      <c r="B1617" s="170"/>
    </row>
    <row r="1618">
      <c r="B1618" s="170"/>
    </row>
    <row r="1619">
      <c r="B1619" s="170"/>
    </row>
    <row r="1620">
      <c r="B1620" s="170"/>
    </row>
    <row r="1621">
      <c r="B1621" s="170"/>
    </row>
    <row r="1622">
      <c r="B1622" s="170"/>
    </row>
    <row r="1623">
      <c r="B1623" s="170"/>
    </row>
    <row r="1624">
      <c r="B1624" s="170"/>
    </row>
    <row r="1625">
      <c r="B1625" s="170"/>
    </row>
    <row r="1626">
      <c r="B1626" s="170"/>
    </row>
    <row r="1627">
      <c r="B1627" s="170"/>
    </row>
    <row r="1628">
      <c r="B1628" s="170"/>
    </row>
    <row r="1629">
      <c r="B1629" s="170"/>
    </row>
    <row r="1630">
      <c r="B1630" s="170"/>
    </row>
    <row r="1631">
      <c r="B1631" s="170"/>
    </row>
    <row r="1632">
      <c r="B1632" s="170"/>
    </row>
    <row r="1633">
      <c r="B1633" s="170"/>
    </row>
    <row r="1634">
      <c r="B1634" s="170"/>
    </row>
    <row r="1635">
      <c r="B1635" s="170"/>
    </row>
    <row r="1636">
      <c r="B1636" s="170"/>
    </row>
    <row r="1637">
      <c r="B1637" s="170"/>
    </row>
    <row r="1638">
      <c r="B1638" s="170"/>
    </row>
    <row r="1639">
      <c r="B1639" s="170"/>
    </row>
    <row r="1640">
      <c r="B1640" s="170"/>
    </row>
    <row r="1641">
      <c r="B1641" s="170"/>
    </row>
    <row r="1642">
      <c r="B1642" s="170"/>
    </row>
    <row r="1643">
      <c r="B1643" s="170"/>
    </row>
    <row r="1644">
      <c r="B1644" s="170"/>
    </row>
    <row r="1645">
      <c r="B1645" s="170"/>
    </row>
    <row r="1646">
      <c r="B1646" s="170"/>
    </row>
    <row r="1647">
      <c r="B1647" s="170"/>
    </row>
    <row r="1648">
      <c r="B1648" s="170"/>
    </row>
    <row r="1649">
      <c r="B1649" s="170"/>
    </row>
    <row r="1650">
      <c r="B1650" s="170"/>
    </row>
    <row r="1651">
      <c r="B1651" s="170"/>
    </row>
    <row r="1652">
      <c r="B1652" s="170"/>
    </row>
    <row r="1653">
      <c r="B1653" s="170"/>
    </row>
    <row r="1654">
      <c r="B1654" s="170"/>
    </row>
    <row r="1655">
      <c r="B1655" s="170"/>
    </row>
    <row r="1656">
      <c r="B1656" s="170"/>
    </row>
    <row r="1657">
      <c r="B1657" s="170"/>
    </row>
    <row r="1658">
      <c r="B1658" s="170"/>
    </row>
    <row r="1659">
      <c r="B1659" s="170"/>
    </row>
    <row r="1660">
      <c r="B1660" s="170"/>
    </row>
    <row r="1661">
      <c r="B1661" s="170"/>
    </row>
    <row r="1662">
      <c r="B1662" s="170"/>
    </row>
    <row r="1663">
      <c r="B1663" s="170"/>
    </row>
    <row r="1664">
      <c r="B1664" s="170"/>
    </row>
    <row r="1665">
      <c r="B1665" s="170"/>
    </row>
    <row r="1666">
      <c r="B1666" s="170"/>
    </row>
    <row r="1667">
      <c r="B1667" s="170"/>
    </row>
    <row r="1668">
      <c r="B1668" s="170"/>
    </row>
    <row r="1669">
      <c r="B1669" s="170"/>
    </row>
    <row r="1670">
      <c r="B1670" s="170"/>
    </row>
    <row r="1671">
      <c r="B1671" s="170"/>
    </row>
    <row r="1672">
      <c r="B1672" s="170"/>
    </row>
    <row r="1673">
      <c r="B1673" s="170"/>
    </row>
    <row r="1674">
      <c r="B1674" s="170"/>
    </row>
    <row r="1675">
      <c r="B1675" s="170"/>
    </row>
    <row r="1676">
      <c r="B1676" s="170"/>
    </row>
    <row r="1677">
      <c r="B1677" s="170"/>
    </row>
    <row r="1678">
      <c r="B1678" s="170"/>
    </row>
    <row r="1679">
      <c r="B1679" s="170"/>
    </row>
    <row r="1680">
      <c r="B1680" s="170"/>
    </row>
    <row r="1681">
      <c r="B1681" s="170"/>
    </row>
    <row r="1682">
      <c r="B1682" s="170"/>
    </row>
    <row r="1683">
      <c r="B1683" s="170"/>
    </row>
    <row r="1684">
      <c r="B1684" s="170"/>
    </row>
    <row r="1685">
      <c r="B1685" s="170"/>
    </row>
    <row r="1686">
      <c r="B1686" s="170"/>
    </row>
    <row r="1687">
      <c r="B1687" s="170"/>
    </row>
    <row r="1688">
      <c r="B1688" s="170"/>
    </row>
    <row r="1689">
      <c r="B1689" s="170"/>
    </row>
    <row r="1690">
      <c r="B1690" s="170"/>
    </row>
    <row r="1691">
      <c r="B1691" s="170"/>
    </row>
    <row r="1692">
      <c r="B1692" s="170"/>
    </row>
    <row r="1693">
      <c r="B1693" s="170"/>
    </row>
    <row r="1694">
      <c r="B1694" s="170"/>
    </row>
    <row r="1695">
      <c r="B1695" s="170"/>
    </row>
    <row r="1696">
      <c r="B1696" s="170"/>
    </row>
    <row r="1697">
      <c r="B1697" s="170"/>
    </row>
    <row r="1698">
      <c r="B1698" s="170"/>
    </row>
    <row r="1699">
      <c r="B1699" s="170"/>
    </row>
    <row r="1700">
      <c r="B1700" s="170"/>
    </row>
    <row r="1701">
      <c r="B1701" s="170"/>
    </row>
    <row r="1702">
      <c r="B1702" s="170"/>
    </row>
    <row r="1703">
      <c r="B1703" s="170"/>
    </row>
    <row r="1704">
      <c r="B1704" s="170"/>
    </row>
    <row r="1705">
      <c r="B1705" s="170"/>
    </row>
    <row r="1706">
      <c r="B1706" s="170"/>
    </row>
    <row r="1707">
      <c r="B1707" s="170"/>
    </row>
    <row r="1708">
      <c r="B1708" s="170"/>
    </row>
    <row r="1709">
      <c r="B1709" s="170"/>
    </row>
    <row r="1710">
      <c r="B1710" s="170"/>
    </row>
    <row r="1711">
      <c r="B1711" s="170"/>
    </row>
    <row r="1712">
      <c r="B1712" s="170"/>
    </row>
    <row r="1713">
      <c r="B1713" s="170"/>
    </row>
    <row r="1714">
      <c r="B1714" s="170"/>
    </row>
    <row r="1715">
      <c r="B1715" s="170"/>
    </row>
    <row r="1716">
      <c r="B1716" s="170"/>
    </row>
    <row r="1717">
      <c r="B1717" s="170"/>
    </row>
    <row r="1718">
      <c r="B1718" s="170"/>
    </row>
    <row r="1719">
      <c r="B1719" s="170"/>
    </row>
    <row r="1720">
      <c r="B1720" s="170"/>
    </row>
    <row r="1721">
      <c r="B1721" s="170"/>
    </row>
    <row r="1722">
      <c r="B1722" s="170"/>
    </row>
    <row r="1723">
      <c r="B1723" s="170"/>
    </row>
    <row r="1724">
      <c r="B1724" s="170"/>
    </row>
    <row r="1725">
      <c r="B1725" s="170"/>
    </row>
    <row r="1726">
      <c r="B1726" s="170"/>
    </row>
    <row r="1727">
      <c r="B1727" s="170"/>
    </row>
    <row r="1728">
      <c r="B1728" s="170"/>
    </row>
    <row r="1729">
      <c r="B1729" s="170"/>
    </row>
    <row r="1730">
      <c r="B1730" s="170"/>
    </row>
    <row r="1731">
      <c r="B1731" s="170"/>
    </row>
    <row r="1732">
      <c r="B1732" s="170"/>
    </row>
    <row r="1733">
      <c r="B1733" s="170"/>
    </row>
    <row r="1734">
      <c r="B1734" s="170"/>
    </row>
    <row r="1735">
      <c r="B1735" s="170"/>
    </row>
    <row r="1736">
      <c r="B1736" s="170"/>
    </row>
    <row r="1737">
      <c r="B1737" s="170"/>
    </row>
    <row r="1738">
      <c r="B1738" s="170"/>
    </row>
    <row r="1739">
      <c r="B1739" s="170"/>
    </row>
    <row r="1740">
      <c r="B1740" s="170"/>
    </row>
    <row r="1741">
      <c r="B1741" s="170"/>
    </row>
    <row r="1742">
      <c r="B1742" s="170"/>
    </row>
    <row r="1743">
      <c r="B1743" s="170"/>
    </row>
    <row r="1744">
      <c r="B1744" s="170"/>
    </row>
    <row r="1745">
      <c r="B1745" s="170"/>
    </row>
    <row r="1746">
      <c r="B1746" s="170"/>
    </row>
    <row r="1747">
      <c r="B1747" s="170"/>
    </row>
    <row r="1748">
      <c r="B1748" s="170"/>
    </row>
    <row r="1749">
      <c r="B1749" s="170"/>
    </row>
    <row r="1750">
      <c r="B1750" s="170"/>
    </row>
    <row r="1751">
      <c r="B1751" s="170"/>
    </row>
    <row r="1752">
      <c r="B1752" s="170"/>
    </row>
    <row r="1753">
      <c r="B1753" s="170"/>
    </row>
    <row r="1754">
      <c r="B1754" s="170"/>
    </row>
    <row r="1755">
      <c r="B1755" s="170"/>
    </row>
    <row r="1756">
      <c r="B1756" s="170"/>
    </row>
    <row r="1757">
      <c r="B1757" s="170"/>
    </row>
    <row r="1758">
      <c r="B1758" s="170"/>
    </row>
    <row r="1759">
      <c r="B1759" s="170"/>
    </row>
    <row r="1760">
      <c r="B1760" s="170"/>
    </row>
    <row r="1761">
      <c r="B1761" s="170"/>
    </row>
    <row r="1762">
      <c r="B1762" s="170"/>
    </row>
    <row r="1763">
      <c r="B1763" s="170"/>
    </row>
    <row r="1764">
      <c r="B1764" s="170"/>
    </row>
    <row r="1765">
      <c r="B1765" s="170"/>
    </row>
    <row r="1766">
      <c r="B1766" s="170"/>
    </row>
    <row r="1767">
      <c r="B1767" s="170"/>
    </row>
    <row r="1768">
      <c r="B1768" s="170"/>
    </row>
    <row r="1769">
      <c r="B1769" s="169"/>
    </row>
    <row r="1770">
      <c r="B1770" s="169"/>
    </row>
  </sheetData>
  <autoFilter ref="A1:D1" xr:uid="{00000000-0009-0000-0000-000004000000}">
    <sortState ref="A2:D31">
      <sortCondition descending="1" ref="C1"/>
    </sortState>
  </autoFilter>
  <conditionalFormatting sqref="C2:D5000">
    <cfRule type="cellIs" dxfId="0" priority="1" operator="equal">
      <formula>5</formula>
    </cfRule>
  </conditionalFormatting>
  <pageMargins left="0.7" right="0.7" top="0.75" bottom="0.75" header="0.3" footer="0.3"/>
  <pageSetup scale="90" fitToHeight="0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AW64"/>
  <sheetViews>
    <sheetView zoomScaleNormal="100" workbookViewId="0">
      <selection activeCell="A3" sqref="A3"/>
    </sheetView>
  </sheetViews>
  <sheetFormatPr defaultColWidth="9.109375" defaultRowHeight="13.2" x14ac:dyDescent="0.25"/>
  <cols>
    <col min="1" max="1" width="9.109375" customWidth="1" style="95"/>
    <col min="2" max="2" width="9.109375" customWidth="1" style="95"/>
    <col min="3" max="3" width="9.109375" customWidth="1" style="95"/>
    <col min="4" max="4" width="9.109375" customWidth="1" style="95"/>
    <col min="5" max="5" width="9.109375" customWidth="1" style="95"/>
    <col min="6" max="6" width="9.109375" customWidth="1" style="95"/>
    <col min="7" max="7" width="9.109375" customWidth="1" style="95"/>
    <col min="8" max="8" width="9.109375" customWidth="1" style="95"/>
    <col min="9" max="9" width="9.109375" customWidth="1" style="95"/>
    <col min="10" max="10" width="9.109375" customWidth="1" style="95"/>
    <col min="11" max="11" width="9.109375" customWidth="1" style="95"/>
    <col min="12" max="12" width="9.109375" customWidth="1" style="95"/>
    <col min="13" max="13" width="9.109375" customWidth="1" style="95"/>
    <col min="14" max="14" width="9.109375" customWidth="1" style="95"/>
    <col min="15" max="15" width="9.109375" customWidth="1" style="95"/>
    <col min="16" max="16" width="9.109375" customWidth="1" style="95"/>
    <col min="17" max="17" width="9.109375" customWidth="1" style="95"/>
    <col min="18" max="18" width="9.109375" customWidth="1" style="95"/>
    <col min="19" max="22" width="9.109375" customWidth="1" style="95"/>
    <col min="23" max="26" width="9.109375" customWidth="1" style="180"/>
    <col min="27" max="16384" width="9.109375" customWidth="1" style="95"/>
  </cols>
  <sheetData>
    <row r="1" ht="14.4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35"/>
      <c r="V1" s="135"/>
      <c r="W1" s="135"/>
      <c r="X1" s="135"/>
      <c r="Y1" s="135"/>
      <c r="Z1" s="135"/>
      <c r="AA1" s="135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98"/>
      <c r="AV1" s="98"/>
      <c r="AW1" s="98"/>
    </row>
    <row r="2" ht="28.2">
      <c r="A2" s="100"/>
      <c r="B2" s="209" t="s">
        <v>57</v>
      </c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96"/>
      <c r="T2" s="100"/>
      <c r="U2" s="100"/>
      <c r="V2" s="100"/>
      <c r="W2" s="174" t="s">
        <v>58</v>
      </c>
      <c r="X2" s="175"/>
      <c r="Y2" s="175"/>
      <c r="Z2" s="175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  <c r="AU2" s="98"/>
      <c r="AV2" s="98"/>
      <c r="AW2" s="98"/>
    </row>
    <row r="3" ht="20.4">
      <c r="A3" s="99"/>
      <c r="B3" s="210" t="s">
        <v>59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97"/>
      <c r="T3" s="100"/>
      <c r="U3" s="100"/>
      <c r="V3" s="100"/>
      <c r="W3" s="176" t="s">
        <v>60</v>
      </c>
      <c r="X3" s="176" t="s">
        <v>6</v>
      </c>
      <c r="Y3" s="176" t="s">
        <v>9</v>
      </c>
      <c r="Z3" s="176" t="s">
        <v>61</v>
      </c>
      <c r="AE3" s="100"/>
      <c r="AF3" s="100"/>
      <c r="AG3" s="100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  <c r="AV3" s="100"/>
      <c r="AW3" s="100"/>
    </row>
    <row r="4" ht="46.5" customHeight="1">
      <c r="B4" s="208" t="s">
        <v>62</v>
      </c>
      <c r="C4" s="208"/>
      <c r="D4" s="208"/>
      <c r="E4" s="208"/>
      <c r="F4" s="208"/>
      <c r="G4" s="208"/>
      <c r="H4" s="208"/>
      <c r="I4" s="208"/>
      <c r="J4" s="104"/>
      <c r="K4" s="208" t="s">
        <v>63</v>
      </c>
      <c r="L4" s="208"/>
      <c r="M4" s="208"/>
      <c r="N4" s="208"/>
      <c r="O4" s="208"/>
      <c r="P4" s="208"/>
      <c r="Q4" s="208"/>
      <c r="R4" s="208"/>
      <c r="S4" s="101"/>
      <c r="T4" s="100"/>
      <c r="U4" s="100"/>
      <c r="V4" s="100"/>
      <c r="W4" s="177" t="s">
        <v>64</v>
      </c>
      <c r="X4" s="176">
        <v>1</v>
      </c>
      <c r="Y4" s="176">
        <v>1</v>
      </c>
      <c r="Z4" s="178">
        <f>=COUNTIFS(RiskRegisterWithScope!$H$5:$H$8,'L I Bubble'!$Y4,RiskRegisterWithScope!$I$5:$I$8,'L I Bubble'!$X4)</f>
      </c>
      <c r="AA4" s="100"/>
      <c r="AB4" s="100"/>
      <c r="AC4" s="100"/>
      <c r="AD4" s="100"/>
      <c r="AE4" s="100"/>
      <c r="AF4" s="100"/>
      <c r="AG4" s="100"/>
      <c r="AH4" s="100"/>
      <c r="AI4" s="100"/>
      <c r="AJ4" s="100"/>
      <c r="AK4" s="100"/>
      <c r="AL4" s="100"/>
      <c r="AM4" s="100"/>
      <c r="AN4" s="100"/>
      <c r="AO4" s="100"/>
      <c r="AP4" s="100"/>
      <c r="AQ4" s="100"/>
      <c r="AR4" s="100"/>
      <c r="AS4" s="100"/>
      <c r="AT4" s="100"/>
      <c r="AU4" s="100"/>
      <c r="AV4" s="100"/>
      <c r="AW4" s="100"/>
    </row>
    <row r="5" ht="14.4">
      <c r="T5" s="100"/>
      <c r="U5" s="100"/>
      <c r="V5" s="100"/>
      <c r="W5" s="177" t="s">
        <v>65</v>
      </c>
      <c r="X5" s="176">
        <v>1</v>
      </c>
      <c r="Y5" s="176">
        <v>2</v>
      </c>
      <c r="Z5" s="178">
        <f>=COUNTIFS(RiskRegisterWithScope!$H$5:$H$8,'L I Bubble'!$Y5,RiskRegisterWithScope!$I$5:$I$8,'L I Bubble'!$X5)</f>
      </c>
      <c r="AA5" s="100"/>
      <c r="AB5" s="100"/>
      <c r="AC5" s="100"/>
      <c r="AD5" s="100"/>
      <c r="AE5" s="100"/>
      <c r="AF5" s="100"/>
      <c r="AG5" s="100"/>
      <c r="AH5" s="100"/>
      <c r="AI5" s="100"/>
      <c r="AJ5" s="100"/>
      <c r="AK5" s="100"/>
      <c r="AL5" s="100"/>
      <c r="AM5" s="100"/>
      <c r="AN5" s="100"/>
      <c r="AO5" s="100"/>
      <c r="AP5" s="100"/>
      <c r="AQ5" s="100"/>
      <c r="AR5" s="100"/>
      <c r="AS5" s="100"/>
      <c r="AT5" s="100"/>
      <c r="AU5" s="100"/>
      <c r="AV5" s="100"/>
      <c r="AW5" s="100"/>
    </row>
    <row r="6" ht="14.4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77" t="s">
        <v>66</v>
      </c>
      <c r="X6" s="176">
        <v>1</v>
      </c>
      <c r="Y6" s="176">
        <v>3</v>
      </c>
      <c r="Z6" s="178">
        <f>=COUNTIFS(RiskRegisterWithScope!$H$5:$H$8,'L I Bubble'!$Y6,RiskRegisterWithScope!$I$5:$I$8,'L I Bubble'!$X6)</f>
      </c>
      <c r="AA6" s="100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</row>
    <row r="7" ht="14.4">
      <c r="A7" s="100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77" t="s">
        <v>67</v>
      </c>
      <c r="X7" s="176">
        <v>1</v>
      </c>
      <c r="Y7" s="176">
        <v>4</v>
      </c>
      <c r="Z7" s="178">
        <f>=COUNTIFS(RiskRegisterWithScope!$H$5:$H$8,'L I Bubble'!$Y7,RiskRegisterWithScope!$I$5:$I$8,'L I Bubble'!$X7)</f>
      </c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</row>
    <row r="8" ht="14.4">
      <c r="A8" s="100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77" t="s">
        <v>68</v>
      </c>
      <c r="X8" s="176">
        <v>1</v>
      </c>
      <c r="Y8" s="176">
        <v>5</v>
      </c>
      <c r="Z8" s="178">
        <f>=COUNTIFS(RiskRegisterWithScope!$H$5:$H$8,'L I Bubble'!$Y8,RiskRegisterWithScope!$I$5:$I$8,'L I Bubble'!$X8)</f>
      </c>
      <c r="AA8" s="100"/>
      <c r="AB8" s="100"/>
      <c r="AC8" s="100"/>
      <c r="AD8" s="100"/>
      <c r="AE8" s="100"/>
      <c r="AF8" s="100"/>
      <c r="AG8" s="100"/>
      <c r="AH8" s="100"/>
      <c r="AI8" s="100"/>
      <c r="AJ8" s="100"/>
      <c r="AK8" s="100"/>
      <c r="AL8" s="100"/>
      <c r="AM8" s="100"/>
      <c r="AN8" s="100"/>
      <c r="AO8" s="100"/>
      <c r="AP8" s="100"/>
      <c r="AQ8" s="100"/>
      <c r="AR8" s="100"/>
      <c r="AS8" s="100"/>
      <c r="AT8" s="100"/>
      <c r="AU8" s="100"/>
      <c r="AV8" s="100"/>
      <c r="AW8" s="100"/>
    </row>
    <row r="9" ht="14.4">
      <c r="A9" s="100"/>
      <c r="B9" s="100"/>
      <c r="C9" s="100"/>
      <c r="D9" s="100"/>
      <c r="E9" s="100"/>
      <c r="F9" s="100"/>
      <c r="G9" s="100"/>
      <c r="H9" s="100"/>
      <c r="I9" s="100"/>
      <c r="J9" s="100"/>
      <c r="K9" s="100"/>
      <c r="L9" s="100"/>
      <c r="M9" s="100"/>
      <c r="N9" s="100"/>
      <c r="O9" s="100"/>
      <c r="P9" s="100"/>
      <c r="Q9" s="100"/>
      <c r="R9" s="100"/>
      <c r="S9" s="100"/>
      <c r="T9" s="100"/>
      <c r="U9" s="100"/>
      <c r="V9" s="100"/>
      <c r="W9" s="177" t="s">
        <v>69</v>
      </c>
      <c r="X9" s="176">
        <v>2</v>
      </c>
      <c r="Y9" s="176">
        <v>1</v>
      </c>
      <c r="Z9" s="178">
        <f>=COUNTIFS(RiskRegisterWithScope!$H$5:$H$8,'L I Bubble'!$Y9,RiskRegisterWithScope!$I$5:$I$8,'L I Bubble'!$X9)</f>
      </c>
      <c r="AA9" s="100"/>
      <c r="AB9" s="100"/>
      <c r="AC9" s="100"/>
      <c r="AD9" s="100"/>
      <c r="AE9" s="100"/>
      <c r="AF9" s="100"/>
      <c r="AG9" s="100"/>
      <c r="AH9" s="100"/>
      <c r="AI9" s="100"/>
      <c r="AJ9" s="100"/>
      <c r="AK9" s="100"/>
      <c r="AL9" s="100"/>
      <c r="AM9" s="100"/>
      <c r="AN9" s="100"/>
      <c r="AO9" s="100"/>
      <c r="AP9" s="100"/>
      <c r="AQ9" s="100"/>
      <c r="AR9" s="100"/>
      <c r="AS9" s="100"/>
      <c r="AT9" s="100"/>
      <c r="AU9" s="100"/>
      <c r="AV9" s="100"/>
      <c r="AW9" s="100"/>
    </row>
    <row r="10" ht="14.4">
      <c r="A10" s="100"/>
      <c r="B10" s="100"/>
      <c r="C10" s="100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77" t="s">
        <v>70</v>
      </c>
      <c r="X10" s="176">
        <v>2</v>
      </c>
      <c r="Y10" s="176">
        <v>2</v>
      </c>
      <c r="Z10" s="178">
        <f>=COUNTIFS(RiskRegisterWithScope!$H$5:$H$8,'L I Bubble'!$Y10,RiskRegisterWithScope!$I$5:$I$8,'L I Bubble'!$X10)</f>
      </c>
      <c r="AA10" s="100"/>
      <c r="AB10" s="100"/>
      <c r="AC10" s="100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  <c r="AO10" s="100"/>
      <c r="AP10" s="100"/>
      <c r="AQ10" s="100"/>
      <c r="AR10" s="100"/>
      <c r="AS10" s="100"/>
      <c r="AT10" s="100"/>
      <c r="AU10" s="100"/>
      <c r="AV10" s="100"/>
      <c r="AW10" s="100"/>
    </row>
    <row r="11" ht="14.4">
      <c r="A11" s="100"/>
      <c r="B11" s="100"/>
      <c r="C11" s="100"/>
      <c r="D11" s="100"/>
      <c r="E11" s="100"/>
      <c r="F11" s="100"/>
      <c r="G11" s="100"/>
      <c r="H11" s="100"/>
      <c r="I11" s="100"/>
      <c r="J11" s="100"/>
      <c r="K11" s="100"/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77" t="s">
        <v>71</v>
      </c>
      <c r="X11" s="176">
        <v>2</v>
      </c>
      <c r="Y11" s="176">
        <v>3</v>
      </c>
      <c r="Z11" s="178">
        <f>=COUNTIFS(RiskRegisterWithScope!$H$5:$H$8,'L I Bubble'!$Y11,RiskRegisterWithScope!$I$5:$I$8,'L I Bubble'!$X11)</f>
      </c>
      <c r="AA11" s="100"/>
      <c r="AB11" s="100"/>
      <c r="AC11" s="100"/>
      <c r="AD11" s="100"/>
      <c r="AE11" s="100"/>
      <c r="AF11" s="100"/>
      <c r="AG11" s="100"/>
      <c r="AH11" s="100"/>
      <c r="AI11" s="100"/>
      <c r="AJ11" s="100"/>
      <c r="AK11" s="100"/>
      <c r="AL11" s="100"/>
      <c r="AM11" s="100"/>
      <c r="AN11" s="100"/>
      <c r="AO11" s="100"/>
      <c r="AP11" s="100"/>
      <c r="AQ11" s="100"/>
      <c r="AR11" s="100"/>
      <c r="AS11" s="100"/>
      <c r="AT11" s="100"/>
      <c r="AU11" s="100"/>
      <c r="AV11" s="100"/>
      <c r="AW11" s="100"/>
    </row>
    <row r="12" ht="14.4">
      <c r="A12" s="100"/>
      <c r="B12" s="100"/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77" t="s">
        <v>72</v>
      </c>
      <c r="X12" s="176">
        <v>2</v>
      </c>
      <c r="Y12" s="176">
        <v>4</v>
      </c>
      <c r="Z12" s="178">
        <f>=COUNTIFS(RiskRegisterWithScope!$H$5:$H$8,'L I Bubble'!$Y12,RiskRegisterWithScope!$I$5:$I$8,'L I Bubble'!$X12)</f>
      </c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  <c r="AV12" s="100"/>
      <c r="AW12" s="100"/>
    </row>
    <row r="13" ht="14.4">
      <c r="A13" s="100"/>
      <c r="B13" s="100"/>
      <c r="C13" s="100"/>
      <c r="D13" s="100"/>
      <c r="E13" s="100"/>
      <c r="F13" s="100"/>
      <c r="G13" s="100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77" t="s">
        <v>73</v>
      </c>
      <c r="X13" s="176">
        <v>2</v>
      </c>
      <c r="Y13" s="176">
        <v>5</v>
      </c>
      <c r="Z13" s="178">
        <f>=COUNTIFS(RiskRegisterWithScope!$H$5:$H$8,'L I Bubble'!$Y13,RiskRegisterWithScope!$I$5:$I$8,'L I Bubble'!$X13)</f>
      </c>
      <c r="AA13" s="100"/>
      <c r="AB13" s="100"/>
      <c r="AC13" s="100"/>
      <c r="AD13" s="100"/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</row>
    <row r="14" ht="14.4">
      <c r="A14" s="100"/>
      <c r="B14" s="100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77" t="s">
        <v>74</v>
      </c>
      <c r="X14" s="176">
        <v>3</v>
      </c>
      <c r="Y14" s="176">
        <v>1</v>
      </c>
      <c r="Z14" s="178">
        <f>=COUNTIFS(RiskRegisterWithScope!$H$5:$H$8,'L I Bubble'!$Y14,RiskRegisterWithScope!$I$5:$I$8,'L I Bubble'!$X14)</f>
      </c>
      <c r="AA14" s="100"/>
      <c r="AB14" s="100"/>
      <c r="AC14" s="100"/>
      <c r="AD14" s="100"/>
      <c r="AE14" s="100"/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</row>
    <row r="15" ht="14.4">
      <c r="A15" s="100"/>
      <c r="B15" s="100"/>
      <c r="C15" s="100"/>
      <c r="D15" s="100"/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77" t="s">
        <v>75</v>
      </c>
      <c r="X15" s="176">
        <v>3</v>
      </c>
      <c r="Y15" s="176">
        <v>2</v>
      </c>
      <c r="Z15" s="178">
        <f>=COUNTIFS(RiskRegisterWithScope!$H$5:$H$8,'L I Bubble'!$Y15,RiskRegisterWithScope!$I$5:$I$8,'L I Bubble'!$X15)</f>
      </c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</row>
    <row r="16" ht="14.4">
      <c r="A16" s="100"/>
      <c r="B16" s="100"/>
      <c r="C16" s="100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77" t="s">
        <v>76</v>
      </c>
      <c r="X16" s="176">
        <v>3</v>
      </c>
      <c r="Y16" s="176">
        <v>3</v>
      </c>
      <c r="Z16" s="178">
        <f>=COUNTIFS(RiskRegisterWithScope!$H$5:$H$8,'L I Bubble'!$Y16,RiskRegisterWithScope!$I$5:$I$8,'L I Bubble'!$X16)</f>
      </c>
      <c r="AA16" s="100"/>
      <c r="AB16" s="100"/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</row>
    <row r="17">
      <c r="U17" s="173"/>
      <c r="V17" s="173"/>
      <c r="W17" s="177" t="s">
        <v>77</v>
      </c>
      <c r="X17" s="176">
        <v>3</v>
      </c>
      <c r="Y17" s="176">
        <v>4</v>
      </c>
      <c r="Z17" s="178">
        <f>=COUNTIFS(RiskRegisterWithScope!$H$5:$H$8,'L I Bubble'!$Y17,RiskRegisterWithScope!$I$5:$I$8,'L I Bubble'!$X17)</f>
      </c>
      <c r="AA17" s="173"/>
    </row>
    <row r="18">
      <c r="U18" s="173"/>
      <c r="V18" s="173"/>
      <c r="W18" s="177" t="s">
        <v>78</v>
      </c>
      <c r="X18" s="176">
        <v>3</v>
      </c>
      <c r="Y18" s="176">
        <v>5</v>
      </c>
      <c r="Z18" s="178">
        <f>=COUNTIFS(RiskRegisterWithScope!$H$5:$H$8,'L I Bubble'!$Y18,RiskRegisterWithScope!$I$5:$I$8,'L I Bubble'!$X18)</f>
      </c>
      <c r="AA18" s="173"/>
    </row>
    <row r="19">
      <c r="U19" s="173"/>
      <c r="V19" s="173"/>
      <c r="W19" s="177" t="s">
        <v>79</v>
      </c>
      <c r="X19" s="176">
        <v>4</v>
      </c>
      <c r="Y19" s="176">
        <v>1</v>
      </c>
      <c r="Z19" s="178">
        <f>=COUNTIFS(RiskRegisterWithScope!$H$5:$H$8,'L I Bubble'!$Y19,RiskRegisterWithScope!$I$5:$I$8,'L I Bubble'!$X19)</f>
      </c>
      <c r="AA19" s="173"/>
    </row>
    <row r="20">
      <c r="U20" s="173"/>
      <c r="V20" s="173"/>
      <c r="W20" s="177" t="s">
        <v>80</v>
      </c>
      <c r="X20" s="176">
        <v>4</v>
      </c>
      <c r="Y20" s="176">
        <v>2</v>
      </c>
      <c r="Z20" s="178">
        <f>=COUNTIFS(RiskRegisterWithScope!$H$5:$H$8,'L I Bubble'!$Y20,RiskRegisterWithScope!$I$5:$I$8,'L I Bubble'!$X20)</f>
      </c>
      <c r="AA20" s="173"/>
    </row>
    <row r="21">
      <c r="U21" s="173"/>
      <c r="V21" s="173"/>
      <c r="W21" s="177" t="s">
        <v>81</v>
      </c>
      <c r="X21" s="176">
        <v>4</v>
      </c>
      <c r="Y21" s="176">
        <v>3</v>
      </c>
      <c r="Z21" s="178">
        <f>=COUNTIFS(RiskRegisterWithScope!$H$5:$H$8,'L I Bubble'!$Y21,RiskRegisterWithScope!$I$5:$I$8,'L I Bubble'!$X21)</f>
      </c>
      <c r="AA21" s="173"/>
    </row>
    <row r="22">
      <c r="U22" s="173"/>
      <c r="V22" s="173"/>
      <c r="W22" s="177" t="s">
        <v>82</v>
      </c>
      <c r="X22" s="176">
        <v>4</v>
      </c>
      <c r="Y22" s="176">
        <v>4</v>
      </c>
      <c r="Z22" s="178">
        <f>=COUNTIFS(RiskRegisterWithScope!$H$5:$H$8,'L I Bubble'!$Y22,RiskRegisterWithScope!$I$5:$I$8,'L I Bubble'!$X22)</f>
      </c>
      <c r="AA22" s="173"/>
    </row>
    <row r="23">
      <c r="U23" s="173"/>
      <c r="V23" s="173"/>
      <c r="W23" s="177" t="s">
        <v>83</v>
      </c>
      <c r="X23" s="176">
        <v>4</v>
      </c>
      <c r="Y23" s="176">
        <v>5</v>
      </c>
      <c r="Z23" s="178">
        <f>=COUNTIFS(RiskRegisterWithScope!$H$5:$H$8,'L I Bubble'!$Y23,RiskRegisterWithScope!$I$5:$I$8,'L I Bubble'!$X23)</f>
      </c>
      <c r="AA23" s="173"/>
    </row>
    <row r="24">
      <c r="U24" s="173"/>
      <c r="V24" s="173"/>
      <c r="W24" s="177" t="s">
        <v>84</v>
      </c>
      <c r="X24" s="176">
        <v>5</v>
      </c>
      <c r="Y24" s="176">
        <v>1</v>
      </c>
      <c r="Z24" s="178">
        <f>=COUNTIFS(RiskRegisterWithScope!$H$5:$H$8,'L I Bubble'!$Y24,RiskRegisterWithScope!$I$5:$I$8,'L I Bubble'!$X24)</f>
      </c>
      <c r="AA24" s="173"/>
    </row>
    <row r="25">
      <c r="U25" s="173"/>
      <c r="V25" s="173"/>
      <c r="W25" s="177" t="s">
        <v>85</v>
      </c>
      <c r="X25" s="176">
        <v>5</v>
      </c>
      <c r="Y25" s="176">
        <v>2</v>
      </c>
      <c r="Z25" s="178">
        <f>=COUNTIFS(RiskRegisterWithScope!$H$5:$H$8,'L I Bubble'!$Y25,RiskRegisterWithScope!$I$5:$I$8,'L I Bubble'!$X25)</f>
      </c>
      <c r="AA25" s="173"/>
    </row>
    <row r="26">
      <c r="U26" s="173"/>
      <c r="V26" s="173"/>
      <c r="W26" s="177" t="s">
        <v>86</v>
      </c>
      <c r="X26" s="176">
        <v>5</v>
      </c>
      <c r="Y26" s="176">
        <v>3</v>
      </c>
      <c r="Z26" s="178">
        <f>=COUNTIFS(RiskRegisterWithScope!$H$5:$H$8,'L I Bubble'!$Y26,RiskRegisterWithScope!$I$5:$I$8,'L I Bubble'!$X26)</f>
      </c>
      <c r="AA26" s="173"/>
    </row>
    <row r="27">
      <c r="U27" s="173"/>
      <c r="V27" s="173"/>
      <c r="W27" s="177" t="s">
        <v>87</v>
      </c>
      <c r="X27" s="176">
        <v>5</v>
      </c>
      <c r="Y27" s="176">
        <v>4</v>
      </c>
      <c r="Z27" s="178">
        <f>=COUNTIFS(RiskRegisterWithScope!$H$5:$H$8,'L I Bubble'!$Y27,RiskRegisterWithScope!$I$5:$I$8,'L I Bubble'!$X27)</f>
      </c>
      <c r="AA27" s="173"/>
    </row>
    <row r="28">
      <c r="U28" s="173"/>
      <c r="V28" s="173"/>
      <c r="W28" s="177" t="s">
        <v>88</v>
      </c>
      <c r="X28" s="176">
        <v>5</v>
      </c>
      <c r="Y28" s="176">
        <v>5</v>
      </c>
      <c r="Z28" s="178">
        <f>=COUNTIFS(RiskRegisterWithScope!$H$5:$H$8,'L I Bubble'!$Y28,RiskRegisterWithScope!$I$5:$I$8,'L I Bubble'!$X28)</f>
      </c>
      <c r="AA28" s="173"/>
    </row>
    <row r="29">
      <c r="U29" s="173"/>
      <c r="V29" s="173"/>
      <c r="W29" s="178"/>
      <c r="X29" s="178"/>
      <c r="Y29" s="178"/>
      <c r="Z29" s="178" t="e">
        <f>SUM(Z4:Z28)</f>
        <v>#REF!</v>
      </c>
      <c r="AA29" s="173"/>
    </row>
    <row r="30" ht="26.4">
      <c r="U30" s="173"/>
      <c r="V30" s="173"/>
      <c r="W30" s="175" t="s">
        <v>89</v>
      </c>
      <c r="X30" s="175"/>
      <c r="Y30" s="175"/>
      <c r="Z30" s="175"/>
      <c r="AA30" s="173"/>
    </row>
    <row r="31">
      <c r="U31" s="173"/>
      <c r="V31" s="173"/>
      <c r="W31" s="176" t="s">
        <v>60</v>
      </c>
      <c r="X31" s="176" t="s">
        <v>6</v>
      </c>
      <c r="Y31" s="176" t="s">
        <v>9</v>
      </c>
      <c r="Z31" s="176" t="s">
        <v>61</v>
      </c>
      <c r="AA31" s="173"/>
    </row>
    <row r="32">
      <c r="U32" s="173"/>
      <c r="V32" s="173"/>
      <c r="W32" s="177" t="s">
        <v>64</v>
      </c>
      <c r="X32" s="176">
        <v>1</v>
      </c>
      <c r="Y32" s="176">
        <v>1</v>
      </c>
      <c r="Z32" s="178">
        <f>=COUNTIFS(RiskRegisterWithScope!$K$5:$K$8,'L I Bubble'!$Y32,RiskRegisterWithScope!$L$5:$L$8,'L I Bubble'!$X32)</f>
      </c>
      <c r="AA32" s="173"/>
    </row>
    <row r="33">
      <c r="U33" s="173"/>
      <c r="V33" s="173"/>
      <c r="W33" s="177" t="s">
        <v>65</v>
      </c>
      <c r="X33" s="176">
        <v>1</v>
      </c>
      <c r="Y33" s="176">
        <v>2</v>
      </c>
      <c r="Z33" s="178">
        <f>=COUNTIFS(RiskRegisterWithScope!$K$5:$K$8,'L I Bubble'!$Y33,RiskRegisterWithScope!$L$5:$L$8,'L I Bubble'!$X33)</f>
      </c>
      <c r="AA33" s="173"/>
    </row>
    <row r="34">
      <c r="U34" s="173"/>
      <c r="V34" s="173"/>
      <c r="W34" s="177" t="s">
        <v>66</v>
      </c>
      <c r="X34" s="176">
        <v>1</v>
      </c>
      <c r="Y34" s="176">
        <v>3</v>
      </c>
      <c r="Z34" s="178">
        <f>=COUNTIFS(RiskRegisterWithScope!$K$5:$K$8,'L I Bubble'!$Y34,RiskRegisterWithScope!$L$5:$L$8,'L I Bubble'!$X34)</f>
      </c>
      <c r="AA34" s="173"/>
    </row>
    <row r="35">
      <c r="U35" s="173"/>
      <c r="V35" s="173"/>
      <c r="W35" s="177" t="s">
        <v>67</v>
      </c>
      <c r="X35" s="176">
        <v>1</v>
      </c>
      <c r="Y35" s="176">
        <v>4</v>
      </c>
      <c r="Z35" s="178">
        <f>=COUNTIFS(RiskRegisterWithScope!$K$5:$K$8,'L I Bubble'!$Y35,RiskRegisterWithScope!$L$5:$L$8,'L I Bubble'!$X35)</f>
      </c>
      <c r="AA35" s="173"/>
    </row>
    <row r="36">
      <c r="U36" s="173"/>
      <c r="V36" s="173"/>
      <c r="W36" s="177" t="s">
        <v>68</v>
      </c>
      <c r="X36" s="176">
        <v>1</v>
      </c>
      <c r="Y36" s="176">
        <v>5</v>
      </c>
      <c r="Z36" s="178">
        <f>=COUNTIFS(RiskRegisterWithScope!$K$5:$K$8,'L I Bubble'!$Y36,RiskRegisterWithScope!$L$5:$L$8,'L I Bubble'!$X36)</f>
      </c>
      <c r="AA36" s="173"/>
    </row>
    <row r="37">
      <c r="U37" s="173"/>
      <c r="V37" s="173"/>
      <c r="W37" s="177" t="s">
        <v>69</v>
      </c>
      <c r="X37" s="176">
        <v>2</v>
      </c>
      <c r="Y37" s="176">
        <v>1</v>
      </c>
      <c r="Z37" s="178">
        <f>=COUNTIFS(RiskRegisterWithScope!$K$5:$K$8,'L I Bubble'!$Y37,RiskRegisterWithScope!$L$5:$L$8,'L I Bubble'!$X37)</f>
      </c>
      <c r="AA37" s="173"/>
    </row>
    <row r="38">
      <c r="U38" s="173"/>
      <c r="V38" s="173"/>
      <c r="W38" s="177" t="s">
        <v>70</v>
      </c>
      <c r="X38" s="176">
        <v>2</v>
      </c>
      <c r="Y38" s="176">
        <v>2</v>
      </c>
      <c r="Z38" s="178">
        <f>=COUNTIFS(RiskRegisterWithScope!$K$5:$K$8,'L I Bubble'!$Y38,RiskRegisterWithScope!$L$5:$L$8,'L I Bubble'!$X38)</f>
      </c>
      <c r="AA38" s="173"/>
    </row>
    <row r="39">
      <c r="U39" s="173"/>
      <c r="V39" s="173"/>
      <c r="W39" s="177" t="s">
        <v>71</v>
      </c>
      <c r="X39" s="176">
        <v>2</v>
      </c>
      <c r="Y39" s="176">
        <v>3</v>
      </c>
      <c r="Z39" s="178">
        <f>=COUNTIFS(RiskRegisterWithScope!$K$5:$K$8,'L I Bubble'!$Y39,RiskRegisterWithScope!$L$5:$L$8,'L I Bubble'!$X39)</f>
      </c>
      <c r="AA39" s="173"/>
    </row>
    <row r="40">
      <c r="U40" s="173"/>
      <c r="V40" s="173"/>
      <c r="W40" s="177" t="s">
        <v>72</v>
      </c>
      <c r="X40" s="176">
        <v>2</v>
      </c>
      <c r="Y40" s="176">
        <v>4</v>
      </c>
      <c r="Z40" s="178">
        <f>=COUNTIFS(RiskRegisterWithScope!$K$5:$K$8,'L I Bubble'!$Y40,RiskRegisterWithScope!$L$5:$L$8,'L I Bubble'!$X40)</f>
      </c>
      <c r="AA40" s="173"/>
    </row>
    <row r="41">
      <c r="U41" s="173"/>
      <c r="V41" s="173"/>
      <c r="W41" s="177" t="s">
        <v>73</v>
      </c>
      <c r="X41" s="176">
        <v>2</v>
      </c>
      <c r="Y41" s="176">
        <v>5</v>
      </c>
      <c r="Z41" s="178">
        <f>=COUNTIFS(RiskRegisterWithScope!$K$5:$K$8,'L I Bubble'!$Y41,RiskRegisterWithScope!$L$5:$L$8,'L I Bubble'!$X41)</f>
      </c>
      <c r="AA41" s="173"/>
    </row>
    <row r="42">
      <c r="U42" s="173"/>
      <c r="V42" s="173"/>
      <c r="W42" s="177" t="s">
        <v>74</v>
      </c>
      <c r="X42" s="176">
        <v>3</v>
      </c>
      <c r="Y42" s="176">
        <v>1</v>
      </c>
      <c r="Z42" s="178">
        <f>=COUNTIFS(RiskRegisterWithScope!$K$5:$K$8,'L I Bubble'!$Y42,RiskRegisterWithScope!$L$5:$L$8,'L I Bubble'!$X42)</f>
      </c>
      <c r="AA42" s="173"/>
    </row>
    <row r="43">
      <c r="U43" s="173"/>
      <c r="V43" s="173"/>
      <c r="W43" s="177" t="s">
        <v>75</v>
      </c>
      <c r="X43" s="176">
        <v>3</v>
      </c>
      <c r="Y43" s="176">
        <v>2</v>
      </c>
      <c r="Z43" s="178">
        <f>=COUNTIFS(RiskRegisterWithScope!$K$5:$K$8,'L I Bubble'!$Y43,RiskRegisterWithScope!$L$5:$L$8,'L I Bubble'!$X43)</f>
      </c>
      <c r="AA43" s="173"/>
    </row>
    <row r="44">
      <c r="U44" s="173"/>
      <c r="V44" s="173"/>
      <c r="W44" s="177" t="s">
        <v>76</v>
      </c>
      <c r="X44" s="176">
        <v>3</v>
      </c>
      <c r="Y44" s="176">
        <v>3</v>
      </c>
      <c r="Z44" s="178">
        <f>=COUNTIFS(RiskRegisterWithScope!$K$5:$K$8,'L I Bubble'!$Y44,RiskRegisterWithScope!$L$5:$L$8,'L I Bubble'!$X44)</f>
      </c>
      <c r="AA44" s="173"/>
    </row>
    <row r="45">
      <c r="U45" s="173"/>
      <c r="V45" s="173"/>
      <c r="W45" s="177" t="s">
        <v>77</v>
      </c>
      <c r="X45" s="176">
        <v>3</v>
      </c>
      <c r="Y45" s="176">
        <v>4</v>
      </c>
      <c r="Z45" s="178">
        <f>=COUNTIFS(RiskRegisterWithScope!$K$5:$K$8,'L I Bubble'!$Y45,RiskRegisterWithScope!$L$5:$L$8,'L I Bubble'!$X45)</f>
      </c>
      <c r="AA45" s="173"/>
    </row>
    <row r="46">
      <c r="U46" s="173"/>
      <c r="V46" s="173"/>
      <c r="W46" s="177" t="s">
        <v>78</v>
      </c>
      <c r="X46" s="176">
        <v>3</v>
      </c>
      <c r="Y46" s="176">
        <v>5</v>
      </c>
      <c r="Z46" s="178">
        <f>=COUNTIFS(RiskRegisterWithScope!$K$5:$K$8,'L I Bubble'!$Y46,RiskRegisterWithScope!$L$5:$L$8,'L I Bubble'!$X46)</f>
      </c>
      <c r="AA46" s="173"/>
    </row>
    <row r="47">
      <c r="U47" s="173"/>
      <c r="V47" s="173"/>
      <c r="W47" s="177" t="s">
        <v>79</v>
      </c>
      <c r="X47" s="176">
        <v>4</v>
      </c>
      <c r="Y47" s="176">
        <v>1</v>
      </c>
      <c r="Z47" s="178">
        <f>=COUNTIFS(RiskRegisterWithScope!$K$5:$K$8,'L I Bubble'!$Y47,RiskRegisterWithScope!$L$5:$L$8,'L I Bubble'!$X47)</f>
      </c>
      <c r="AA47" s="173"/>
    </row>
    <row r="48">
      <c r="U48" s="173"/>
      <c r="V48" s="173"/>
      <c r="W48" s="177" t="s">
        <v>80</v>
      </c>
      <c r="X48" s="176">
        <v>4</v>
      </c>
      <c r="Y48" s="176">
        <v>2</v>
      </c>
      <c r="Z48" s="178">
        <f>=COUNTIFS(RiskRegisterWithScope!$K$5:$K$8,'L I Bubble'!$Y48,RiskRegisterWithScope!$L$5:$L$8,'L I Bubble'!$X48)</f>
      </c>
      <c r="AA48" s="173"/>
    </row>
    <row r="49">
      <c r="U49" s="173"/>
      <c r="V49" s="173"/>
      <c r="W49" s="177" t="s">
        <v>81</v>
      </c>
      <c r="X49" s="176">
        <v>4</v>
      </c>
      <c r="Y49" s="176">
        <v>3</v>
      </c>
      <c r="Z49" s="178">
        <f>=COUNTIFS(RiskRegisterWithScope!$K$5:$K$8,'L I Bubble'!$Y49,RiskRegisterWithScope!$L$5:$L$8,'L I Bubble'!$X49)</f>
      </c>
      <c r="AA49" s="173"/>
    </row>
    <row r="50">
      <c r="U50" s="173"/>
      <c r="V50" s="173"/>
      <c r="W50" s="177" t="s">
        <v>82</v>
      </c>
      <c r="X50" s="176">
        <v>4</v>
      </c>
      <c r="Y50" s="176">
        <v>4</v>
      </c>
      <c r="Z50" s="178">
        <f>=COUNTIFS(RiskRegisterWithScope!$K$5:$K$8,'L I Bubble'!$Y50,RiskRegisterWithScope!$L$5:$L$8,'L I Bubble'!$X50)</f>
      </c>
      <c r="AA50" s="173"/>
    </row>
    <row r="51">
      <c r="U51" s="173"/>
      <c r="V51" s="173"/>
      <c r="W51" s="177" t="s">
        <v>83</v>
      </c>
      <c r="X51" s="176">
        <v>4</v>
      </c>
      <c r="Y51" s="176">
        <v>5</v>
      </c>
      <c r="Z51" s="178">
        <f>=COUNTIFS(RiskRegisterWithScope!$K$5:$K$8,'L I Bubble'!$Y51,RiskRegisterWithScope!$L$5:$L$8,'L I Bubble'!$X51)</f>
      </c>
      <c r="AA51" s="173"/>
    </row>
    <row r="52">
      <c r="U52" s="173"/>
      <c r="V52" s="173"/>
      <c r="W52" s="177" t="s">
        <v>84</v>
      </c>
      <c r="X52" s="176">
        <v>5</v>
      </c>
      <c r="Y52" s="176">
        <v>1</v>
      </c>
      <c r="Z52" s="178">
        <f>=COUNTIFS(RiskRegisterWithScope!$K$5:$K$8,'L I Bubble'!$Y52,RiskRegisterWithScope!$L$5:$L$8,'L I Bubble'!$X52)</f>
      </c>
      <c r="AA52" s="173"/>
    </row>
    <row r="53">
      <c r="U53" s="173"/>
      <c r="V53" s="173"/>
      <c r="W53" s="177" t="s">
        <v>85</v>
      </c>
      <c r="X53" s="176">
        <v>5</v>
      </c>
      <c r="Y53" s="176">
        <v>2</v>
      </c>
      <c r="Z53" s="178">
        <f>=COUNTIFS(RiskRegisterWithScope!$K$5:$K$8,'L I Bubble'!$Y53,RiskRegisterWithScope!$L$5:$L$8,'L I Bubble'!$X53)</f>
      </c>
      <c r="AA53" s="173"/>
    </row>
    <row r="54">
      <c r="U54" s="173"/>
      <c r="V54" s="173"/>
      <c r="W54" s="177" t="s">
        <v>86</v>
      </c>
      <c r="X54" s="176">
        <v>5</v>
      </c>
      <c r="Y54" s="176">
        <v>3</v>
      </c>
      <c r="Z54" s="178">
        <f>=COUNTIFS(RiskRegisterWithScope!$K$5:$K$8,'L I Bubble'!$Y54,RiskRegisterWithScope!$L$5:$L$8,'L I Bubble'!$X54)</f>
      </c>
      <c r="AA54" s="173"/>
    </row>
    <row r="55">
      <c r="U55" s="173"/>
      <c r="V55" s="173"/>
      <c r="W55" s="177" t="s">
        <v>87</v>
      </c>
      <c r="X55" s="176">
        <v>5</v>
      </c>
      <c r="Y55" s="176">
        <v>4</v>
      </c>
      <c r="Z55" s="178">
        <f>=COUNTIFS(RiskRegisterWithScope!$K$5:$K$8,'L I Bubble'!$Y55,RiskRegisterWithScope!$L$5:$L$8,'L I Bubble'!$X55)</f>
      </c>
      <c r="AA55" s="173"/>
    </row>
    <row r="56">
      <c r="U56" s="173"/>
      <c r="V56" s="173"/>
      <c r="W56" s="177" t="s">
        <v>88</v>
      </c>
      <c r="X56" s="176">
        <v>5</v>
      </c>
      <c r="Y56" s="176">
        <v>5</v>
      </c>
      <c r="Z56" s="178">
        <f>=COUNTIFS(RiskRegisterWithScope!$K$5:$K$8,'L I Bubble'!$Y56,RiskRegisterWithScope!$L$5:$L$8,'L I Bubble'!$X56)</f>
      </c>
      <c r="AA56" s="173"/>
    </row>
    <row r="57" ht="14.4">
      <c r="U57" s="173"/>
      <c r="V57" s="173"/>
      <c r="W57" s="135"/>
      <c r="X57" s="135"/>
      <c r="Y57" s="135"/>
      <c r="Z57" s="179" t="e">
        <f>SUM(Z32:Z56)</f>
        <v>#REF!</v>
      </c>
      <c r="AA57" s="173"/>
    </row>
    <row r="58" ht="14.4">
      <c r="U58" s="173"/>
      <c r="V58" s="173"/>
      <c r="W58" s="135"/>
      <c r="X58" s="135"/>
      <c r="Y58" s="135"/>
      <c r="Z58" s="135"/>
      <c r="AA58" s="173"/>
    </row>
    <row r="59" ht="14.4">
      <c r="U59" s="173"/>
      <c r="V59" s="173"/>
      <c r="W59" s="135"/>
      <c r="X59" s="135"/>
      <c r="Y59" s="135"/>
      <c r="Z59" s="135"/>
      <c r="AA59" s="173"/>
    </row>
    <row r="60" ht="14.4">
      <c r="U60" s="173"/>
      <c r="V60" s="173"/>
      <c r="W60" s="135"/>
      <c r="X60" s="135"/>
      <c r="Y60" s="135"/>
      <c r="Z60" s="135"/>
      <c r="AA60" s="173"/>
    </row>
    <row r="61" ht="14.4">
      <c r="U61" s="173"/>
      <c r="V61" s="173"/>
      <c r="W61" s="135"/>
      <c r="X61" s="135"/>
      <c r="Y61" s="135"/>
      <c r="Z61" s="135"/>
      <c r="AA61" s="173"/>
    </row>
    <row r="62" ht="14.4">
      <c r="W62" s="135"/>
      <c r="X62" s="135"/>
      <c r="Y62" s="135"/>
      <c r="Z62" s="135"/>
    </row>
    <row r="63" ht="14.4">
      <c r="W63" s="135"/>
      <c r="X63" s="135"/>
      <c r="Y63" s="135"/>
      <c r="Z63" s="135"/>
    </row>
    <row r="64" ht="14.4">
      <c r="W64" s="135"/>
      <c r="X64" s="135"/>
      <c r="Y64" s="135"/>
      <c r="Z64" s="135"/>
    </row>
  </sheetData>
  <mergeCells>
    <mergeCell ref="K4:R4"/>
    <mergeCell ref="B4:I4"/>
    <mergeCell ref="B2:R2"/>
    <mergeCell ref="B3:R3"/>
  </mergeCells>
  <pageMargins left="0.7" right="0.7" top="0.75" bottom="0.75" header="0.3" footer="0.3"/>
  <pageSetup scale="72" fitToHeight="0" orientation="landscape"/>
  <headerFooter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outlinePr summaryBelow="0" summaryRight="0"/>
  </sheetPr>
  <dimension ref="A1:O14"/>
  <sheetViews>
    <sheetView showGridLines="0" zoomScaleNormal="100" workbookViewId="0">
      <selection activeCell="F22" sqref="F22"/>
    </sheetView>
  </sheetViews>
  <sheetFormatPr defaultColWidth="9.109375" defaultRowHeight="13.2" x14ac:dyDescent="0.25"/>
  <cols>
    <col min="1" max="1" width="15.33203125" customWidth="1" style="51"/>
    <col min="2" max="2" width="56.88671875" customWidth="1" style="37"/>
    <col min="3" max="3" bestFit="1" width="20.5546875" customWidth="1" style="37"/>
    <col min="4" max="4" width="10.44140625" customWidth="1" style="37"/>
    <col min="5" max="5" width="11.33203125" customWidth="1" style="37"/>
    <col min="6" max="6" bestFit="1" width="9.33203125" customWidth="1" style="37"/>
    <col min="7" max="7" bestFit="1" width="37.5546875" customWidth="1" style="37"/>
    <col min="8" max="13" width="9.109375" customWidth="1" style="37"/>
    <col min="14" max="15" bestFit="1" width="3.88671875" customWidth="1" style="49"/>
    <col min="16" max="16384" width="9.109375" customWidth="1" style="37"/>
  </cols>
  <sheetData>
    <row r="1">
      <c r="A1" s="214" t="e">
        <f>"Risk "&amp;RiskRegisterWithScope!#REF!&amp;": "&amp;RiskRegisterWithScope!#REF!</f>
        <v>#REF!</v>
      </c>
      <c r="B1" s="215"/>
      <c r="C1" s="54" t="s">
        <v>40</v>
      </c>
      <c r="D1" s="89" t="s">
        <v>9</v>
      </c>
      <c r="E1" s="89" t="s">
        <v>6</v>
      </c>
      <c r="F1" s="89" t="s">
        <v>2</v>
      </c>
      <c r="G1" s="55"/>
    </row>
    <row r="2" ht="32.25" customHeight="1">
      <c r="A2" s="216" t="s">
        <v>52</v>
      </c>
      <c r="B2" s="218" t="e">
        <f>RiskRegisterWithScope!#REF!</f>
        <v>#REF!</v>
      </c>
      <c r="C2" s="56" t="s">
        <v>41</v>
      </c>
      <c r="D2" s="192" t="e">
        <f>RiskRegisterWithScope!#REF!</f>
        <v>#REF!</v>
      </c>
      <c r="E2" s="192" t="e">
        <f>RiskRegisterWithScope!#REF!</f>
        <v>#REF!</v>
      </c>
      <c r="F2" s="196" t="e">
        <f>D2*E2</f>
        <v>#REF!</v>
      </c>
      <c r="G2" s="55"/>
      <c r="N2" s="50" t="e">
        <f>D2+1</f>
        <v>#REF!</v>
      </c>
      <c r="O2" s="50" t="e">
        <f>D3+1</f>
        <v>#REF!</v>
      </c>
    </row>
    <row r="3" ht="32.25" customHeight="1">
      <c r="A3" s="217"/>
      <c r="B3" s="219"/>
      <c r="C3" s="57" t="s">
        <v>42</v>
      </c>
      <c r="D3" s="192" t="e">
        <f>RiskRegisterWithScope!#REF!</f>
        <v>#REF!</v>
      </c>
      <c r="E3" s="192" t="e">
        <f>RiskRegisterWithScope!#REF!</f>
        <v>#REF!</v>
      </c>
      <c r="F3" s="193" t="e">
        <f>D3*E3</f>
        <v>#REF!</v>
      </c>
      <c r="G3" s="55"/>
      <c r="N3" s="50" t="e">
        <f>E2+0.5</f>
        <v>#REF!</v>
      </c>
      <c r="O3" s="50" t="e">
        <f>E3+0.5</f>
        <v>#REF!</v>
      </c>
    </row>
    <row r="4" ht="54.75" customHeight="1">
      <c r="A4" s="58" t="s">
        <v>53</v>
      </c>
      <c r="B4" s="59" t="e">
        <f>RiskRegisterWithScope!#REF!</f>
        <v>#REF!</v>
      </c>
      <c r="C4" s="60"/>
      <c r="D4" s="61"/>
      <c r="E4" s="61"/>
      <c r="F4" s="62"/>
      <c r="G4" s="55"/>
      <c r="N4" s="50"/>
      <c r="O4" s="50"/>
    </row>
    <row r="5" ht="49.5" customHeight="1">
      <c r="A5" s="63" t="s">
        <v>54</v>
      </c>
      <c r="B5" s="59" t="e">
        <f>RiskRegisterWithScope!#REF!</f>
        <v>#REF!</v>
      </c>
      <c r="C5" s="64"/>
      <c r="D5" s="65"/>
      <c r="E5" s="66"/>
      <c r="F5" s="67"/>
      <c r="G5" s="55"/>
    </row>
    <row r="6" ht="63" customHeight="1">
      <c r="A6" s="63" t="s">
        <v>55</v>
      </c>
      <c r="B6" s="68" t="e">
        <f>RiskRegisterWithScope!#REF!</f>
        <v>#REF!</v>
      </c>
      <c r="C6" s="69"/>
      <c r="D6" s="70"/>
      <c r="E6" s="71"/>
      <c r="F6" s="72"/>
      <c r="G6" s="55"/>
    </row>
    <row r="7">
      <c r="A7" s="220" t="s">
        <v>1</v>
      </c>
      <c r="B7" s="220"/>
      <c r="C7" s="221" t="s">
        <v>11</v>
      </c>
      <c r="D7" s="222"/>
      <c r="E7" s="213" t="s">
        <v>44</v>
      </c>
      <c r="F7" s="213"/>
      <c r="G7" s="55"/>
    </row>
    <row r="8">
      <c r="A8" s="223" t="e">
        <f>RiskRegisterWithScope!#REF!</f>
        <v>#REF!</v>
      </c>
      <c r="B8" s="223"/>
      <c r="C8" s="224" t="e">
        <f>RiskRegisterWithScope!#REF!</f>
        <v>#REF!</v>
      </c>
      <c r="D8" s="225"/>
      <c r="E8" s="223"/>
      <c r="F8" s="223"/>
      <c r="G8" s="55"/>
    </row>
    <row r="9">
      <c r="A9" s="226" t="s">
        <v>47</v>
      </c>
      <c r="B9" s="226"/>
      <c r="C9" s="226" t="s">
        <v>48</v>
      </c>
      <c r="D9" s="226"/>
      <c r="E9" s="73" t="s">
        <v>49</v>
      </c>
      <c r="F9" s="73" t="s">
        <v>56</v>
      </c>
      <c r="G9" s="73" t="s">
        <v>51</v>
      </c>
    </row>
    <row r="10" s="52" customFormat="1">
      <c r="A10" s="212"/>
      <c r="B10" s="212"/>
      <c r="C10" s="212"/>
      <c r="D10" s="212"/>
      <c r="E10" s="92"/>
      <c r="F10" s="102"/>
      <c r="G10" s="92"/>
      <c r="N10" s="53"/>
      <c r="O10" s="53"/>
    </row>
    <row r="11" s="52" customFormat="1">
      <c r="A11" s="212"/>
      <c r="B11" s="212"/>
      <c r="C11" s="212"/>
      <c r="D11" s="212"/>
      <c r="E11" s="92"/>
      <c r="F11" s="102"/>
      <c r="G11" s="92"/>
      <c r="N11" s="53"/>
      <c r="O11" s="53"/>
    </row>
    <row r="12" s="52" customFormat="1">
      <c r="A12" s="212"/>
      <c r="B12" s="212"/>
      <c r="C12" s="212"/>
      <c r="D12" s="212"/>
      <c r="E12" s="92"/>
      <c r="F12" s="102"/>
      <c r="G12" s="92"/>
      <c r="N12" s="53"/>
      <c r="O12" s="53"/>
    </row>
    <row r="13" s="52" customFormat="1">
      <c r="A13" s="211"/>
      <c r="B13" s="211"/>
      <c r="C13" s="211"/>
      <c r="D13" s="211"/>
      <c r="E13" s="74"/>
      <c r="F13" s="75"/>
      <c r="G13" s="74"/>
      <c r="N13" s="53"/>
      <c r="O13" s="53"/>
    </row>
    <row r="14" s="52" customFormat="1">
      <c r="A14" s="211"/>
      <c r="B14" s="211"/>
      <c r="C14" s="211"/>
      <c r="D14" s="211"/>
      <c r="E14" s="74"/>
      <c r="F14" s="75"/>
      <c r="G14" s="74"/>
      <c r="N14" s="53"/>
      <c r="O14" s="53"/>
    </row>
    <row r="26"/>
  </sheetData>
  <mergeCells>
    <mergeCell ref="E7:F7"/>
    <mergeCell ref="A10:B10"/>
    <mergeCell ref="C10:D10"/>
    <mergeCell ref="A1:B1"/>
    <mergeCell ref="A2:A3"/>
    <mergeCell ref="B2:B3"/>
    <mergeCell ref="A7:B7"/>
    <mergeCell ref="C7:D7"/>
    <mergeCell ref="A8:B8"/>
    <mergeCell ref="C8:D8"/>
    <mergeCell ref="E8:F8"/>
    <mergeCell ref="A9:B9"/>
    <mergeCell ref="C9:D9"/>
    <mergeCell ref="A14:B14"/>
    <mergeCell ref="C14:D14"/>
    <mergeCell ref="A11:B11"/>
    <mergeCell ref="C11:D11"/>
    <mergeCell ref="A12:B12"/>
    <mergeCell ref="C12:D12"/>
    <mergeCell ref="A13:B13"/>
    <mergeCell ref="C13:D13"/>
  </mergeCells>
  <pageMargins left="0.39370077848434448" right="0.39370077848434448" top="0.39370077848434448" bottom="0.39370077848434448" header="0" footer="0"/>
  <pageSetup paperSize="9" orientation="portrait"/>
  <headerFooter alignWithMargins="0"/>
  <rowBreaks count="1" manualBreakCount="1">
    <brk id="26" max="1048575" man="1"/>
  </rowBreak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IP (1) Risk 3">
    <outlinePr summaryBelow="0" summaryRight="0"/>
    <pageSetUpPr fitToPage="1"/>
  </sheetPr>
  <dimension ref="A1:O9"/>
  <sheetViews>
    <sheetView showGridLines="0" zoomScaleNormal="100" workbookViewId="0">
      <selection activeCell="E3" sqref="E3"/>
    </sheetView>
  </sheetViews>
  <sheetFormatPr defaultColWidth="9.109375" defaultRowHeight="13.8" x14ac:dyDescent="0.25"/>
  <cols>
    <col min="1" max="1" bestFit="1" width="17" customWidth="1" style="138"/>
    <col min="2" max="2" width="70" customWidth="1" style="136"/>
    <col min="3" max="3" width="23.33203125" customWidth="1" style="136"/>
    <col min="4" max="4" width="15.109375" customWidth="1" style="136"/>
    <col min="5" max="5" width="14.33203125" customWidth="1" style="136"/>
    <col min="6" max="6" width="14.88671875" customWidth="1" style="136"/>
    <col min="7" max="7" width="41.33203125" customWidth="1" style="136"/>
    <col min="8" max="8" width="9.109375" customWidth="1" style="136"/>
    <col min="9" max="13" width="9.109375" customWidth="1" style="136"/>
    <col min="14" max="15" bestFit="1" width="3.88671875" customWidth="1" style="137"/>
    <col min="16" max="16384" width="9.109375" customWidth="1" style="136"/>
  </cols>
  <sheetData>
    <row r="1" ht="30.75" customHeight="1">
      <c r="A1" s="227">
        <f>'RiskRegisterWithScope'!$B$5</f>
      </c>
      <c r="B1" s="228"/>
      <c r="C1" s="156" t="s">
        <v>40</v>
      </c>
      <c r="D1" s="156" t="s">
        <v>9</v>
      </c>
      <c r="E1" s="156" t="s">
        <v>6</v>
      </c>
      <c r="F1" s="156" t="s">
        <v>2</v>
      </c>
    </row>
    <row r="2" ht="40.5" customHeight="1">
      <c r="A2" s="233" t="str">
        <f>'RISKREGISTERWITHSCOPE'!D4</f>
        <v>Underlying Vulnerabilities</v>
      </c>
      <c r="B2" s="235">
        <f>=IF('RiskRegisterWithScope'!$D$5&lt;&gt; "", 'RiskRegisterWithScope'!$D$5, "")</f>
      </c>
      <c r="C2" s="155" t="s">
        <v>41</v>
      </c>
      <c r="D2" s="197">
        <f>INT('RiskRegisterWithScope'!$H$5)</f>
      </c>
      <c r="E2" s="197">
        <f>INT('RiskRegisterWithScope'!$I$5)</f>
      </c>
      <c r="F2" s="194">
        <f>=D2*E2</f>
      </c>
      <c r="N2" s="149">
        <f>=D2+1</f>
      </c>
      <c r="O2" s="149">
        <f>=D3+1</f>
      </c>
    </row>
    <row r="3" ht="40.5" customHeight="1">
      <c r="A3" s="234"/>
      <c r="B3" s="236"/>
      <c r="C3" s="154" t="s">
        <v>42</v>
      </c>
      <c r="D3" s="197">
        <f>'RiskRegisterWithScope'!$K$5</f>
      </c>
      <c r="E3" s="197">
        <f>'RiskRegisterWithScope'!$L$5</f>
      </c>
      <c r="F3" s="195">
        <f>=D3*E3</f>
      </c>
      <c r="N3" s="149">
        <f>=E2+0.5</f>
      </c>
      <c r="O3" s="149">
        <f>=E3+0.5</f>
      </c>
    </row>
    <row r="4" ht="77.25" customHeight="1">
      <c r="A4" s="153" t="str">
        <f>'RISKREGISTERWITHSCOPE'!E4</f>
        <v>Triggers</v>
      </c>
      <c r="B4" s="171">
        <f>=IF('RiskRegisterWithScope'!$E$5&lt;&gt; "", 'RiskRegisterWithScope'!$E$5, "")</f>
      </c>
      <c r="C4" s="152"/>
      <c r="D4" s="151"/>
      <c r="E4" s="151"/>
      <c r="F4" s="150"/>
      <c r="N4" s="149"/>
      <c r="O4" s="149"/>
    </row>
    <row r="5" ht="77.25" customHeight="1">
      <c r="A5" s="144" t="str">
        <f>'RISKREGISTERWITHSCOPE'!F4</f>
        <v>Consequences</v>
      </c>
      <c r="B5" s="171">
        <f>=IF('RiskRegisterWithScope'!$F$5&lt;&gt; "", 'RiskRegisterWithScope'!$F$5, "")</f>
      </c>
      <c r="C5" s="148"/>
      <c r="D5" s="147"/>
      <c r="E5" s="146"/>
      <c r="F5" s="145"/>
    </row>
    <row r="6" ht="81" customHeight="1">
      <c r="A6" s="144" t="str">
        <f>'RISKREGISTERWITHSCOPE'!G4</f>
        <v>Current Controls</v>
      </c>
      <c r="B6" s="172">
        <f>=IF('RiskRegisterWithScope'!$G$5&lt;&gt; "", 'RiskRegisterWithScope'!$G$5, "")</f>
      </c>
      <c r="C6" s="143"/>
      <c r="D6" s="142"/>
      <c r="E6" s="141"/>
      <c r="F6" s="140"/>
    </row>
    <row r="7" ht="15" customHeight="1">
      <c r="A7" s="237" t="s">
        <v>43</v>
      </c>
      <c r="B7" s="237"/>
      <c r="C7" s="238" t="s">
        <v>11</v>
      </c>
      <c r="D7" s="239"/>
      <c r="E7" s="231" t="s">
        <v>44</v>
      </c>
      <c r="F7" s="231"/>
      <c r="G7" s="181" t="s">
        <v>45</v>
      </c>
    </row>
    <row r="8" ht="30" customHeight="1">
      <c r="A8" s="227" t="s">
        <v>46</v>
      </c>
      <c r="B8" s="228"/>
      <c r="C8" s="229">
        <f>'RiskRegisterWithScope'!$C$5</f>
      </c>
      <c r="D8" s="230"/>
      <c r="E8" s="229"/>
      <c r="F8" s="230"/>
      <c r="G8" s="182">
        <v>30</v>
      </c>
    </row>
    <row r="9" ht="15" customHeight="1">
      <c r="A9" s="232" t="s">
        <v>47</v>
      </c>
      <c r="B9" s="232"/>
      <c r="C9" s="232" t="s">
        <v>48</v>
      </c>
      <c r="D9" s="232"/>
      <c r="E9" s="139" t="s">
        <v>49</v>
      </c>
      <c r="F9" s="139" t="s">
        <v>50</v>
      </c>
      <c r="G9" s="139" t="s">
        <v>51</v>
      </c>
    </row>
    <row r="10" ht="15" customHeight="1"/>
    <row r="11" ht="15" customHeight="1"/>
    <row r="12" ht="15" customHeight="1"/>
    <row r="13" ht="15" customHeight="1"/>
    <row r="14" ht="15" customHeight="1"/>
    <row r="15" ht="15" customHeight="1"/>
    <row r="16" ht="15" customHeight="1"/>
    <row r="17" ht="15" customHeight="1"/>
    <row r="18" ht="15" customHeight="1"/>
    <row r="19" ht="15" customHeight="1"/>
    <row r="20" ht="15" customHeight="1"/>
    <row r="21" ht="15" customHeight="1"/>
    <row r="22" ht="15" customHeight="1"/>
  </sheetData>
  <mergeCells>
    <mergeCell ref="A1:B1"/>
    <mergeCell ref="A2:A3"/>
    <mergeCell ref="B2:B3"/>
    <mergeCell ref="A7:B7"/>
    <mergeCell ref="C7:D7"/>
    <mergeCell ref="A8:B8"/>
    <mergeCell ref="C8:D8"/>
    <mergeCell ref="E7:F7"/>
    <mergeCell ref="E8:F8"/>
    <mergeCell ref="A9:B9"/>
    <mergeCell ref="C9:D9"/>
  </mergeCells>
  <conditionalFormatting sqref="D2:E3">
    <cfRule priority="1" type="cellIs" operator="equal" dxfId="1">
      <formula>5</formula>
    </cfRule>
    <cfRule priority="2" type="cellIs" operator="equal" dxfId="2">
      <formula>4</formula>
    </cfRule>
    <cfRule priority="3" type="cellIs" operator="equal" dxfId="3">
      <formula>3</formula>
    </cfRule>
    <cfRule priority="4" type="cellIs" operator="equal" dxfId="4">
      <formula>2</formula>
    </cfRule>
    <cfRule priority="5" type="cellIs" operator="equal" dxfId="5">
      <formula>1</formula>
    </cfRule>
  </conditionalFormatting>
  <pageMargins left="0.39370077848434448" right="0.39370077848434448" top="0.39370077848434448" bottom="0.39370077848434448" header="0" footer="0"/>
  <pageSetup paperSize="9" scale="66" fitToHeight="0" orientation="landscape"/>
  <headerFooter alignWithMargins="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IP (2) Risk 2">
    <outlinePr summaryBelow="0" summaryRight="0"/>
    <pageSetUpPr fitToPage="1"/>
  </sheetPr>
  <dimension ref="A1:O9"/>
  <sheetViews>
    <sheetView showGridLines="0" zoomScaleNormal="100" workbookViewId="0">
      <selection activeCell="E3" sqref="E3"/>
    </sheetView>
  </sheetViews>
  <sheetFormatPr defaultColWidth="9.109375" defaultRowHeight="13.8" x14ac:dyDescent="0.25"/>
  <cols>
    <col min="1" max="1" bestFit="1" width="17" customWidth="1" style="138"/>
    <col min="2" max="2" width="70" customWidth="1" style="136"/>
    <col min="3" max="3" width="23.33203125" customWidth="1" style="136"/>
    <col min="4" max="4" width="15.109375" customWidth="1" style="136"/>
    <col min="5" max="5" width="14.33203125" customWidth="1" style="136"/>
    <col min="6" max="6" width="14.88671875" customWidth="1" style="136"/>
    <col min="7" max="7" width="41.33203125" customWidth="1" style="136"/>
    <col min="8" max="8" width="9.109375" customWidth="1" style="136"/>
    <col min="9" max="13" width="9.109375" customWidth="1" style="136"/>
    <col min="14" max="15" bestFit="1" width="3.88671875" customWidth="1" style="137"/>
    <col min="16" max="16384" width="9.109375" customWidth="1" style="136"/>
  </cols>
  <sheetData>
    <row r="1" ht="30.75" customHeight="1">
      <c r="A1" s="227">
        <f>'RiskRegisterWithScope'!$B$6</f>
      </c>
      <c r="B1" s="228"/>
      <c r="C1" s="156" t="s">
        <v>40</v>
      </c>
      <c r="D1" s="156" t="s">
        <v>9</v>
      </c>
      <c r="E1" s="156" t="s">
        <v>6</v>
      </c>
      <c r="F1" s="156" t="s">
        <v>2</v>
      </c>
    </row>
    <row r="2" ht="40.5" customHeight="1">
      <c r="A2" s="233" t="str">
        <f>'RISKREGISTERWITHSCOPE'!D4</f>
        <v>Underlying Vulnerabilities</v>
      </c>
      <c r="B2" s="235">
        <f>=IF('RiskRegisterWithScope'!$D$6&lt;&gt; "", 'RiskRegisterWithScope'!$D$6, "")</f>
      </c>
      <c r="C2" s="155" t="s">
        <v>41</v>
      </c>
      <c r="D2" s="197">
        <f>INT('RiskRegisterWithScope'!$H$6)</f>
      </c>
      <c r="E2" s="197">
        <f>INT('RiskRegisterWithScope'!$I$6)</f>
      </c>
      <c r="F2" s="194">
        <f>=D2*E2</f>
      </c>
      <c r="N2" s="149">
        <f>=D2+1</f>
      </c>
      <c r="O2" s="149">
        <f>=D3+1</f>
      </c>
    </row>
    <row r="3" ht="40.5" customHeight="1">
      <c r="A3" s="234"/>
      <c r="B3" s="236"/>
      <c r="C3" s="154" t="s">
        <v>42</v>
      </c>
      <c r="D3" s="197">
        <f>'RiskRegisterWithScope'!$K$6</f>
      </c>
      <c r="E3" s="197">
        <f>'RiskRegisterWithScope'!$L$6</f>
      </c>
      <c r="F3" s="195">
        <f>=D3*E3</f>
      </c>
      <c r="N3" s="149">
        <f>=E2+0.5</f>
      </c>
      <c r="O3" s="149">
        <f>=E3+0.5</f>
      </c>
    </row>
    <row r="4" ht="77.25" customHeight="1">
      <c r="A4" s="153" t="str">
        <f>'RISKREGISTERWITHSCOPE'!E4</f>
        <v>Triggers</v>
      </c>
      <c r="B4" s="171">
        <f>=IF('RiskRegisterWithScope'!$E$6&lt;&gt; "", 'RiskRegisterWithScope'!$E$6, "")</f>
      </c>
      <c r="C4" s="152"/>
      <c r="D4" s="151"/>
      <c r="E4" s="151"/>
      <c r="F4" s="150"/>
      <c r="N4" s="149"/>
      <c r="O4" s="149"/>
    </row>
    <row r="5" ht="77.25" customHeight="1">
      <c r="A5" s="144" t="str">
        <f>'RISKREGISTERWITHSCOPE'!F4</f>
        <v>Consequences</v>
      </c>
      <c r="B5" s="171">
        <f>=IF('RiskRegisterWithScope'!$F$6&lt;&gt; "", 'RiskRegisterWithScope'!$F$6, "")</f>
      </c>
      <c r="C5" s="148"/>
      <c r="D5" s="147"/>
      <c r="E5" s="146"/>
      <c r="F5" s="145"/>
    </row>
    <row r="6" ht="81" customHeight="1">
      <c r="A6" s="144" t="str">
        <f>'RISKREGISTERWITHSCOPE'!G4</f>
        <v>Current Controls</v>
      </c>
      <c r="B6" s="172">
        <f>=IF('RiskRegisterWithScope'!$G$6&lt;&gt; "", 'RiskRegisterWithScope'!$G$6, "")</f>
      </c>
      <c r="C6" s="143"/>
      <c r="D6" s="142"/>
      <c r="E6" s="141"/>
      <c r="F6" s="140"/>
    </row>
    <row r="7" ht="15" customHeight="1">
      <c r="A7" s="237" t="s">
        <v>43</v>
      </c>
      <c r="B7" s="237"/>
      <c r="C7" s="238" t="s">
        <v>11</v>
      </c>
      <c r="D7" s="239"/>
      <c r="E7" s="231" t="s">
        <v>44</v>
      </c>
      <c r="F7" s="231"/>
      <c r="G7" s="181" t="s">
        <v>45</v>
      </c>
    </row>
    <row r="8" ht="30" customHeight="1">
      <c r="A8" s="227" t="s">
        <v>46</v>
      </c>
      <c r="B8" s="228"/>
      <c r="C8" s="229">
        <f>'RiskRegisterWithScope'!$C$6</f>
      </c>
      <c r="D8" s="230"/>
      <c r="E8" s="229"/>
      <c r="F8" s="230"/>
      <c r="G8" s="182">
        <v>100</v>
      </c>
    </row>
    <row r="9" ht="15" customHeight="1">
      <c r="A9" s="232" t="s">
        <v>47</v>
      </c>
      <c r="B9" s="232"/>
      <c r="C9" s="232" t="s">
        <v>48</v>
      </c>
      <c r="D9" s="232"/>
      <c r="E9" s="139" t="s">
        <v>49</v>
      </c>
      <c r="F9" s="139" t="s">
        <v>50</v>
      </c>
      <c r="G9" s="139" t="s">
        <v>51</v>
      </c>
    </row>
    <row r="10" ht="15" customHeight="1"/>
    <row r="11" ht="15" customHeight="1"/>
    <row r="12" ht="15" customHeight="1"/>
    <row r="13" ht="15" customHeight="1"/>
    <row r="14" ht="15" customHeight="1"/>
    <row r="15" ht="15" customHeight="1"/>
    <row r="16" ht="15" customHeight="1"/>
    <row r="17" ht="15" customHeight="1"/>
    <row r="18" ht="15" customHeight="1"/>
    <row r="19" ht="15" customHeight="1"/>
    <row r="20" ht="15" customHeight="1"/>
    <row r="21" ht="15" customHeight="1"/>
    <row r="22" ht="15" customHeight="1"/>
  </sheetData>
  <mergeCells>
    <mergeCell ref="A1:B1"/>
    <mergeCell ref="A2:A3"/>
    <mergeCell ref="B2:B3"/>
    <mergeCell ref="A7:B7"/>
    <mergeCell ref="C7:D7"/>
    <mergeCell ref="A8:B8"/>
    <mergeCell ref="C8:D8"/>
    <mergeCell ref="E7:F7"/>
    <mergeCell ref="E8:F8"/>
    <mergeCell ref="A9:B9"/>
    <mergeCell ref="C9:D9"/>
  </mergeCells>
  <conditionalFormatting sqref="D2:E3">
    <cfRule priority="1" type="cellIs" operator="equal" dxfId="1">
      <formula>5</formula>
    </cfRule>
    <cfRule priority="2" type="cellIs" operator="equal" dxfId="2">
      <formula>4</formula>
    </cfRule>
    <cfRule priority="3" type="cellIs" operator="equal" dxfId="3">
      <formula>3</formula>
    </cfRule>
    <cfRule priority="4" type="cellIs" operator="equal" dxfId="4">
      <formula>2</formula>
    </cfRule>
    <cfRule priority="5" type="cellIs" operator="equal" dxfId="5">
      <formula>1</formula>
    </cfRule>
  </conditionalFormatting>
  <pageMargins left="0.39370077848434448" right="0.39370077848434448" top="0.39370077848434448" bottom="0.39370077848434448" header="0" footer="0"/>
  <pageSetup paperSize="9" scale="66" fitToHeight="0" orientation="landscape"/>
  <headerFooter alignWithMargins="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IP (3) Risk 1">
    <outlinePr summaryBelow="0" summaryRight="0"/>
    <pageSetUpPr fitToPage="1"/>
  </sheetPr>
  <dimension ref="A1:O9"/>
  <sheetViews>
    <sheetView showGridLines="0" zoomScaleNormal="100" workbookViewId="0">
      <selection activeCell="E3" sqref="E3"/>
    </sheetView>
  </sheetViews>
  <sheetFormatPr defaultColWidth="9.109375" defaultRowHeight="13.8" x14ac:dyDescent="0.25"/>
  <cols>
    <col min="1" max="1" bestFit="1" width="17" customWidth="1" style="138"/>
    <col min="2" max="2" width="70" customWidth="1" style="136"/>
    <col min="3" max="3" width="23.33203125" customWidth="1" style="136"/>
    <col min="4" max="4" width="15.109375" customWidth="1" style="136"/>
    <col min="5" max="5" width="14.33203125" customWidth="1" style="136"/>
    <col min="6" max="6" width="14.88671875" customWidth="1" style="136"/>
    <col min="7" max="7" width="41.33203125" customWidth="1" style="136"/>
    <col min="8" max="8" width="9.109375" customWidth="1" style="136"/>
    <col min="9" max="13" width="9.109375" customWidth="1" style="136"/>
    <col min="14" max="15" bestFit="1" width="3.88671875" customWidth="1" style="137"/>
    <col min="16" max="16384" width="9.109375" customWidth="1" style="136"/>
  </cols>
  <sheetData>
    <row r="1" ht="30.75" customHeight="1">
      <c r="A1" s="227">
        <f>'RiskRegisterWithScope'!$B$7</f>
      </c>
      <c r="B1" s="228"/>
      <c r="C1" s="156" t="s">
        <v>40</v>
      </c>
      <c r="D1" s="156" t="s">
        <v>9</v>
      </c>
      <c r="E1" s="156" t="s">
        <v>6</v>
      </c>
      <c r="F1" s="156" t="s">
        <v>2</v>
      </c>
    </row>
    <row r="2" ht="40.5" customHeight="1">
      <c r="A2" s="233" t="str">
        <f>'RISKREGISTERWITHSCOPE'!D4</f>
        <v>Underlying Vulnerabilities</v>
      </c>
      <c r="B2" s="235">
        <f>=IF('RiskRegisterWithScope'!$D$7&lt;&gt; "", 'RiskRegisterWithScope'!$D$7, "")</f>
      </c>
      <c r="C2" s="155" t="s">
        <v>41</v>
      </c>
      <c r="D2" s="197">
        <f>INT('RiskRegisterWithScope'!$H$7)</f>
      </c>
      <c r="E2" s="197">
        <f>INT('RiskRegisterWithScope'!$I$7)</f>
      </c>
      <c r="F2" s="194">
        <f>=D2*E2</f>
      </c>
      <c r="N2" s="149">
        <f>=D2+1</f>
      </c>
      <c r="O2" s="149">
        <f>=D3+1</f>
      </c>
    </row>
    <row r="3" ht="40.5" customHeight="1">
      <c r="A3" s="234"/>
      <c r="B3" s="236"/>
      <c r="C3" s="154" t="s">
        <v>42</v>
      </c>
      <c r="D3" s="197">
        <f>'RiskRegisterWithScope'!$K$7</f>
      </c>
      <c r="E3" s="197">
        <f>'RiskRegisterWithScope'!$L$7</f>
      </c>
      <c r="F3" s="195">
        <f>=D3*E3</f>
      </c>
      <c r="N3" s="149">
        <f>=E2+0.5</f>
      </c>
      <c r="O3" s="149">
        <f>=E3+0.5</f>
      </c>
    </row>
    <row r="4" ht="77.25" customHeight="1">
      <c r="A4" s="153" t="str">
        <f>'RISKREGISTERWITHSCOPE'!E4</f>
        <v>Triggers</v>
      </c>
      <c r="B4" s="171">
        <f>=IF('RiskRegisterWithScope'!$E$7&lt;&gt; "", 'RiskRegisterWithScope'!$E$7, "")</f>
      </c>
      <c r="C4" s="152"/>
      <c r="D4" s="151"/>
      <c r="E4" s="151"/>
      <c r="F4" s="150"/>
      <c r="N4" s="149"/>
      <c r="O4" s="149"/>
    </row>
    <row r="5" ht="77.25" customHeight="1">
      <c r="A5" s="144" t="str">
        <f>'RISKREGISTERWITHSCOPE'!F4</f>
        <v>Consequences</v>
      </c>
      <c r="B5" s="171">
        <f>=IF('RiskRegisterWithScope'!$F$7&lt;&gt; "", 'RiskRegisterWithScope'!$F$7, "")</f>
      </c>
      <c r="C5" s="148"/>
      <c r="D5" s="147"/>
      <c r="E5" s="146"/>
      <c r="F5" s="145"/>
    </row>
    <row r="6" ht="81" customHeight="1">
      <c r="A6" s="144" t="str">
        <f>'RISKREGISTERWITHSCOPE'!G4</f>
        <v>Current Controls</v>
      </c>
      <c r="B6" s="172">
        <f>=IF('RiskRegisterWithScope'!$G$7&lt;&gt; "", 'RiskRegisterWithScope'!$G$7, "")</f>
      </c>
      <c r="C6" s="143"/>
      <c r="D6" s="142"/>
      <c r="E6" s="141"/>
      <c r="F6" s="140"/>
    </row>
    <row r="7" ht="15" customHeight="1">
      <c r="A7" s="237" t="s">
        <v>43</v>
      </c>
      <c r="B7" s="237"/>
      <c r="C7" s="238" t="s">
        <v>11</v>
      </c>
      <c r="D7" s="239"/>
      <c r="E7" s="231" t="s">
        <v>44</v>
      </c>
      <c r="F7" s="231"/>
      <c r="G7" s="181" t="s">
        <v>45</v>
      </c>
    </row>
    <row r="8" ht="30" customHeight="1">
      <c r="A8" s="227" t="s">
        <v>90</v>
      </c>
      <c r="B8" s="228"/>
      <c r="C8" s="229">
        <f>'RiskRegisterWithScope'!$C$7</f>
      </c>
      <c r="D8" s="230"/>
      <c r="E8" s="229"/>
      <c r="F8" s="230"/>
      <c r="G8" s="182">
        <v>150</v>
      </c>
    </row>
    <row r="9" ht="15" customHeight="1">
      <c r="A9" s="232" t="s">
        <v>47</v>
      </c>
      <c r="B9" s="232"/>
      <c r="C9" s="232" t="s">
        <v>48</v>
      </c>
      <c r="D9" s="232"/>
      <c r="E9" s="139" t="s">
        <v>49</v>
      </c>
      <c r="F9" s="139" t="s">
        <v>50</v>
      </c>
      <c r="G9" s="139" t="s">
        <v>51</v>
      </c>
    </row>
    <row r="10" ht="15" customHeight="1"/>
    <row r="11" ht="15" customHeight="1"/>
    <row r="12" ht="15" customHeight="1"/>
    <row r="13" ht="15" customHeight="1"/>
    <row r="14" ht="15" customHeight="1"/>
    <row r="15" ht="15" customHeight="1"/>
    <row r="16" ht="15" customHeight="1"/>
    <row r="17" ht="15" customHeight="1"/>
    <row r="18" ht="15" customHeight="1"/>
    <row r="19" ht="15" customHeight="1"/>
    <row r="20" ht="15" customHeight="1"/>
    <row r="21" ht="15" customHeight="1"/>
    <row r="22" ht="15" customHeight="1"/>
  </sheetData>
  <mergeCells>
    <mergeCell ref="A1:B1"/>
    <mergeCell ref="A2:A3"/>
    <mergeCell ref="B2:B3"/>
    <mergeCell ref="A7:B7"/>
    <mergeCell ref="C7:D7"/>
    <mergeCell ref="A8:B8"/>
    <mergeCell ref="C8:D8"/>
    <mergeCell ref="E7:F7"/>
    <mergeCell ref="E8:F8"/>
    <mergeCell ref="A9:B9"/>
    <mergeCell ref="C9:D9"/>
  </mergeCells>
  <conditionalFormatting sqref="D2:E3">
    <cfRule priority="1" type="cellIs" operator="equal" dxfId="1">
      <formula>5</formula>
    </cfRule>
    <cfRule priority="2" type="cellIs" operator="equal" dxfId="2">
      <formula>4</formula>
    </cfRule>
    <cfRule priority="3" type="cellIs" operator="equal" dxfId="3">
      <formula>3</formula>
    </cfRule>
    <cfRule priority="4" type="cellIs" operator="equal" dxfId="4">
      <formula>2</formula>
    </cfRule>
    <cfRule priority="5" type="cellIs" operator="equal" dxfId="5">
      <formula>1</formula>
    </cfRule>
  </conditionalFormatting>
  <pageMargins left="0.39370077848434448" right="0.39370077848434448" top="0.39370077848434448" bottom="0.39370077848434448" header="0" footer="0"/>
  <pageSetup paperSize="9" scale="66" fitToHeight="0" orientation="landscape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RiskRegisterWithScope</vt:lpstr>
      <vt:lpstr>Risk Matrices</vt:lpstr>
      <vt:lpstr>Source of Risk</vt:lpstr>
      <vt:lpstr>Underlying Vulnerabilities</vt:lpstr>
      <vt:lpstr>GRS Before &amp; After</vt:lpstr>
      <vt:lpstr>L I Bubble</vt:lpstr>
      <vt:lpstr>IP (X)</vt:lpstr>
      <vt:lpstr>Improvement</vt:lpstr>
      <vt:lpstr>'GRS Before &amp; After'!Print_Area</vt:lpstr>
      <vt:lpstr>Improvement!Print_Area</vt:lpstr>
      <vt:lpstr>'L I Bubble'!Print_Area</vt:lpstr>
      <vt:lpstr>RiskRegisterWithScope!Print_Area</vt:lpstr>
      <vt:lpstr>'Source of Risk'!Print_Area</vt:lpstr>
      <vt:lpstr>'Underlying Vulnerabilities'!Print_Area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Osgood, Elizabeth</dc:creator>
  <cp:lastModifiedBy>Malik, Naushad</cp:lastModifiedBy>
  <cp:lastPrinted>2016-12-14T19:59:38Z</cp:lastPrinted>
  <dcterms:created xsi:type="dcterms:W3CDTF">2016-06-02T14:42:24Z</dcterms:created>
  <dcterms:modified xsi:type="dcterms:W3CDTF">2019-07-09T13:06:09Z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-117309988</vt:i4>
  </property>
  <property fmtid="{D5CDD505-2E9C-101B-9397-08002B2CF9AE}" pid="3" name="_NewReviewCycle">
    <vt:lpwstr/>
  </property>
  <property fmtid="{D5CDD505-2E9C-101B-9397-08002B2CF9AE}" pid="4" name="_EmailSubject">
    <vt:lpwstr>Excel Research</vt:lpwstr>
  </property>
  <property fmtid="{D5CDD505-2E9C-101B-9397-08002B2CF9AE}" pid="5" name="_AuthorEmail">
    <vt:lpwstr>Gus.Macleod@WillisTowersWatson.com</vt:lpwstr>
  </property>
  <property fmtid="{D5CDD505-2E9C-101B-9397-08002B2CF9AE}" pid="6" name="_AuthorEmailDisplayName">
    <vt:lpwstr>MacLeod, Gus</vt:lpwstr>
  </property>
  <property fmtid="{D5CDD505-2E9C-101B-9397-08002B2CF9AE}" pid="7" name="_PreviousAdHocReviewCycleID">
    <vt:i4>-998636716</vt:i4>
  </property>
  <property fmtid="{D5CDD505-2E9C-101B-9397-08002B2CF9AE}" pid="8" name="_ReviewingToolsShownOnce">
    <vt:lpwstr/>
  </property>
  <property fmtid="{D5CDD505-2E9C-101B-9397-08002B2CF9AE}" pid="9" name="MSIP_Label_9c700311-1b20-487f-9129-30717d50ca8e_Enabled">
    <vt:lpwstr>True</vt:lpwstr>
  </property>
  <property fmtid="{D5CDD505-2E9C-101B-9397-08002B2CF9AE}" pid="10" name="MSIP_Label_9c700311-1b20-487f-9129-30717d50ca8e_SiteId">
    <vt:lpwstr>76e3921f-489b-4b7e-9547-9ea297add9b5</vt:lpwstr>
  </property>
  <property fmtid="{D5CDD505-2E9C-101B-9397-08002B2CF9AE}" pid="11" name="MSIP_Label_9c700311-1b20-487f-9129-30717d50ca8e_Owner">
    <vt:lpwstr>prasenjit.mohanty@willistowerswatson.com</vt:lpwstr>
  </property>
  <property fmtid="{D5CDD505-2E9C-101B-9397-08002B2CF9AE}" pid="12" name="MSIP_Label_9c700311-1b20-487f-9129-30717d50ca8e_SetDate">
    <vt:lpwstr>2019-05-28T13:27:32.0020712Z</vt:lpwstr>
  </property>
  <property fmtid="{D5CDD505-2E9C-101B-9397-08002B2CF9AE}" pid="13" name="MSIP_Label_9c700311-1b20-487f-9129-30717d50ca8e_Name">
    <vt:lpwstr>Confidential</vt:lpwstr>
  </property>
  <property fmtid="{D5CDD505-2E9C-101B-9397-08002B2CF9AE}" pid="14" name="MSIP_Label_9c700311-1b20-487f-9129-30717d50ca8e_Application">
    <vt:lpwstr>Microsoft Azure Information Protection</vt:lpwstr>
  </property>
  <property fmtid="{D5CDD505-2E9C-101B-9397-08002B2CF9AE}" pid="15" name="MSIP_Label_9c700311-1b20-487f-9129-30717d50ca8e_Extended_MSFT_Method">
    <vt:lpwstr>Automatic</vt:lpwstr>
  </property>
  <property fmtid="{D5CDD505-2E9C-101B-9397-08002B2CF9AE}" pid="16" name="MSIP_Label_d347b247-e90e-43a3-9d7b-004f14ae6873_Enabled">
    <vt:lpwstr>True</vt:lpwstr>
  </property>
  <property fmtid="{D5CDD505-2E9C-101B-9397-08002B2CF9AE}" pid="17" name="MSIP_Label_d347b247-e90e-43a3-9d7b-004f14ae6873_SiteId">
    <vt:lpwstr>76e3921f-489b-4b7e-9547-9ea297add9b5</vt:lpwstr>
  </property>
  <property fmtid="{D5CDD505-2E9C-101B-9397-08002B2CF9AE}" pid="18" name="MSIP_Label_d347b247-e90e-43a3-9d7b-004f14ae6873_Owner">
    <vt:lpwstr>prasenjit.mohanty@willistowerswatson.com</vt:lpwstr>
  </property>
  <property fmtid="{D5CDD505-2E9C-101B-9397-08002B2CF9AE}" pid="19" name="MSIP_Label_d347b247-e90e-43a3-9d7b-004f14ae6873_SetDate">
    <vt:lpwstr>2019-05-28T13:27:32.0020712Z</vt:lpwstr>
  </property>
  <property fmtid="{D5CDD505-2E9C-101B-9397-08002B2CF9AE}" pid="20" name="MSIP_Label_d347b247-e90e-43a3-9d7b-004f14ae6873_Name">
    <vt:lpwstr>Anyone (No Protection)</vt:lpwstr>
  </property>
  <property fmtid="{D5CDD505-2E9C-101B-9397-08002B2CF9AE}" pid="21" name="MSIP_Label_d347b247-e90e-43a3-9d7b-004f14ae6873_Application">
    <vt:lpwstr>Microsoft Azure Information Protection</vt:lpwstr>
  </property>
  <property fmtid="{D5CDD505-2E9C-101B-9397-08002B2CF9AE}" pid="22" name="MSIP_Label_d347b247-e90e-43a3-9d7b-004f14ae6873_Parent">
    <vt:lpwstr>9c700311-1b20-487f-9129-30717d50ca8e</vt:lpwstr>
  </property>
  <property fmtid="{D5CDD505-2E9C-101B-9397-08002B2CF9AE}" pid="23" name="MSIP_Label_d347b247-e90e-43a3-9d7b-004f14ae6873_Extended_MSFT_Method">
    <vt:lpwstr>Automatic</vt:lpwstr>
  </property>
  <property fmtid="{D5CDD505-2E9C-101B-9397-08002B2CF9AE}" pid="24" name="Sensitivity">
    <vt:lpwstr>Confidential Anyone (No Protection)</vt:lpwstr>
  </property>
</Properties>
</file>